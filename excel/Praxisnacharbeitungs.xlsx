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culinadelina/Desktop/Praxisnacharbeitung/"/>
    </mc:Choice>
  </mc:AlternateContent>
  <xr:revisionPtr revIDLastSave="0" documentId="13_ncr:1_{C2AA236B-E138-9942-A9FD-CA181F4FCC48}" xr6:coauthVersionLast="47" xr6:coauthVersionMax="47" xr10:uidLastSave="{00000000-0000-0000-0000-000000000000}"/>
  <bookViews>
    <workbookView xWindow="0" yWindow="660" windowWidth="29400" windowHeight="18460" activeTab="2" xr2:uid="{554390D2-F5B5-824A-B6F7-351DB9E493CA}"/>
  </bookViews>
  <sheets>
    <sheet name="D1" sheetId="16" r:id="rId1"/>
    <sheet name="D3" sheetId="18" r:id="rId2"/>
    <sheet name="Gesamt" sheetId="15" r:id="rId3"/>
    <sheet name="Ausleihen " sheetId="6" r:id="rId4"/>
    <sheet name="Geraete" sheetId="8" r:id="rId5"/>
    <sheet name="Mitarbeiter" sheetId="9" r:id="rId6"/>
  </sheets>
  <definedNames>
    <definedName name="ExterneDaten_1" localSheetId="3" hidden="1">'Ausleihen '!$A$1:$D$46</definedName>
    <definedName name="ExterneDaten_1" localSheetId="4" hidden="1">Geraete!$A$1:$F$36</definedName>
    <definedName name="ExterneDaten_1" localSheetId="5" hidden="1">Mitarbeiter!$A$1:$D$13</definedName>
    <definedName name="ExterneDaten_2" localSheetId="2" hidden="1">Gesamt!$A$1:$M$46</definedName>
  </definedNames>
  <calcPr calcId="181029"/>
  <pivotCaches>
    <pivotCache cacheId="8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B94986-34CF-A544-9ED9-98FB0510B3E1}" keepAlive="1" name="Abfrage - Ausleihen" description="Verbindung mit der Abfrage 'Ausleihen' in der Arbeitsmappe." type="5" refreshedVersion="8" background="1" saveData="1">
    <dbPr connection="Provider=Microsoft.Mashup.OleDb.1;Data Source=$Workbook$;Location=Ausleihen;Extended Properties=&quot;&quot;" command="SELECT * FROM [Ausleihen]"/>
  </connection>
  <connection id="2" xr16:uid="{3BE77529-DBC2-EF44-A21E-3D8A788C37E0}" keepAlive="1" name="Abfrage - Geraete" description="Verbindung mit der Abfrage 'Geraete' in der Arbeitsmappe." type="5" refreshedVersion="8" background="1" saveData="1">
    <dbPr connection="Provider=Microsoft.Mashup.OleDb.1;Data Source=$Workbook$;Location=Geraete;Extended Properties=&quot;&quot;" command="SELECT * FROM [Geraete]"/>
  </connection>
  <connection id="3" xr16:uid="{334A34D2-119B-7E46-81D4-1811C072B680}" keepAlive="1" name="Abfrage - Geraete (2)" description="Verbindung mit der Abfrage 'Geraete (2)' in der Arbeitsmappe." type="5" refreshedVersion="8" background="1" saveData="1">
    <dbPr connection="Provider=Microsoft.Mashup.OleDb.1;Data Source=$Workbook$;Location=&quot;Geraete (2)&quot;;Extended Properties=&quot;&quot;" command="SELECT * FROM [Geraete (2)]"/>
  </connection>
  <connection id="4" xr16:uid="{1AF2CF79-291D-134F-9511-308FEB833C98}" keepAlive="1" name="Abfrage - Gesamt" description="Verbindung mit der Abfrage 'Gesamt' in der Arbeitsmappe." type="5" refreshedVersion="8" background="1" saveData="1">
    <dbPr connection="Provider=Microsoft.Mashup.OleDb.1;Data Source=$Workbook$;Location=Gesamt;Extended Properties=&quot;&quot;" command="SELECT * FROM [Gesamt]"/>
  </connection>
  <connection id="5" xr16:uid="{B1AC7B5F-C9DA-2F49-AB27-BE8886C491F0}" keepAlive="1" name="Abfrage - Mitarbeiter" description="Verbindung mit der Abfrage 'Mitarbeiter' in der Arbeitsmappe." type="5" refreshedVersion="8" background="1" saveData="1">
    <dbPr connection="Provider=Microsoft.Mashup.OleDb.1;Data Source=$Workbook$;Location=Mitarbeiter;Extended Properties=&quot;&quot;" command="SELECT * FROM [Mitarbeiter]"/>
  </connection>
</connections>
</file>

<file path=xl/sharedStrings.xml><?xml version="1.0" encoding="utf-8"?>
<sst xmlns="http://schemas.openxmlformats.org/spreadsheetml/2006/main" count="629" uniqueCount="96">
  <si>
    <t>Gerätenummer</t>
  </si>
  <si>
    <t>Mitarbeiter-ID</t>
  </si>
  <si>
    <t>Ausgabe am</t>
  </si>
  <si>
    <t>Rückgabe am</t>
  </si>
  <si>
    <t>G0035</t>
  </si>
  <si>
    <t>G0021</t>
  </si>
  <si>
    <t>G0024</t>
  </si>
  <si>
    <t>G0016</t>
  </si>
  <si>
    <t>G0006</t>
  </si>
  <si>
    <t>G0005</t>
  </si>
  <si>
    <t>G0009</t>
  </si>
  <si>
    <t>G0011</t>
  </si>
  <si>
    <t>G0028</t>
  </si>
  <si>
    <t>G0013</t>
  </si>
  <si>
    <t>G0029</t>
  </si>
  <si>
    <t>G0015</t>
  </si>
  <si>
    <t>G0022</t>
  </si>
  <si>
    <t>G0018</t>
  </si>
  <si>
    <t>G0031</t>
  </si>
  <si>
    <t>G0027</t>
  </si>
  <si>
    <t>G0030</t>
  </si>
  <si>
    <t>G0007</t>
  </si>
  <si>
    <t>G0004</t>
  </si>
  <si>
    <t>G0025</t>
  </si>
  <si>
    <t>G0032</t>
  </si>
  <si>
    <t>G0014</t>
  </si>
  <si>
    <t>G0033</t>
  </si>
  <si>
    <t>Gerätetyp</t>
  </si>
  <si>
    <t>Modell</t>
  </si>
  <si>
    <t>Kaufdatum</t>
  </si>
  <si>
    <t>Netto-Kaufpreis</t>
  </si>
  <si>
    <t>Standort</t>
  </si>
  <si>
    <t>G0001</t>
  </si>
  <si>
    <t>Tablet</t>
  </si>
  <si>
    <t>Galaxy Tab</t>
  </si>
  <si>
    <t>Berlin</t>
  </si>
  <si>
    <t>G0002</t>
  </si>
  <si>
    <t>Surface Go</t>
  </si>
  <si>
    <t>München</t>
  </si>
  <si>
    <t>G0003</t>
  </si>
  <si>
    <t>iPad</t>
  </si>
  <si>
    <t>Laptop</t>
  </si>
  <si>
    <t>Dell XPS</t>
  </si>
  <si>
    <t>Drucker</t>
  </si>
  <si>
    <t>Canon Pixma</t>
  </si>
  <si>
    <t>Smartphone</t>
  </si>
  <si>
    <t>Samsung S21</t>
  </si>
  <si>
    <t>Lenovo ThinkPad</t>
  </si>
  <si>
    <t>Hamburg</t>
  </si>
  <si>
    <t>G0008</t>
  </si>
  <si>
    <t>Beamer</t>
  </si>
  <si>
    <t>Epson EB</t>
  </si>
  <si>
    <t>G0010</t>
  </si>
  <si>
    <t>Brother HL</t>
  </si>
  <si>
    <t>G0012</t>
  </si>
  <si>
    <t>iPhone 13</t>
  </si>
  <si>
    <t>G0017</t>
  </si>
  <si>
    <t>G0019</t>
  </si>
  <si>
    <t>HP LaserJet</t>
  </si>
  <si>
    <t>G0020</t>
  </si>
  <si>
    <t>Monitor</t>
  </si>
  <si>
    <t>Samsung Curved</t>
  </si>
  <si>
    <t>G0023</t>
  </si>
  <si>
    <t>Dell UltraSharp</t>
  </si>
  <si>
    <t>G0026</t>
  </si>
  <si>
    <t>HP EliteBook</t>
  </si>
  <si>
    <t>BenQ MW550</t>
  </si>
  <si>
    <t>G0034</t>
  </si>
  <si>
    <t>Name</t>
  </si>
  <si>
    <t>Abteilung</t>
  </si>
  <si>
    <t>Aleksandr Weinhage</t>
  </si>
  <si>
    <t>IT</t>
  </si>
  <si>
    <t>Eleni Hauffer</t>
  </si>
  <si>
    <t>Paul Dobes-Stiffel</t>
  </si>
  <si>
    <t>Produktion</t>
  </si>
  <si>
    <t>Klemens Löffler</t>
  </si>
  <si>
    <t>Vertrieb</t>
  </si>
  <si>
    <t>Alexandre Davids</t>
  </si>
  <si>
    <t>Eric Patberg B.Sc.</t>
  </si>
  <si>
    <t>Orhan Siering MBA.</t>
  </si>
  <si>
    <t>Dipl.-Ing. Klaus-Werner Holsten B.Sc.</t>
  </si>
  <si>
    <t>Univ.Prof. Heimo Karge</t>
  </si>
  <si>
    <t>Marketing</t>
  </si>
  <si>
    <t>Carolin Hande</t>
  </si>
  <si>
    <t>Auguste Davids</t>
  </si>
  <si>
    <t>Ariane Klemt-Kaul</t>
  </si>
  <si>
    <t>Gerätenummer.1</t>
  </si>
  <si>
    <t>Zeilenbeschriftungen</t>
  </si>
  <si>
    <t>Gesamtergebnis</t>
  </si>
  <si>
    <t>2024</t>
  </si>
  <si>
    <t>2025</t>
  </si>
  <si>
    <t>Summe von Netto-Kaufpreis</t>
  </si>
  <si>
    <t>(Mehrere Elemente)</t>
  </si>
  <si>
    <t>Standort Mitarbeiter</t>
  </si>
  <si>
    <t>Anzahl von Gerätetyp</t>
  </si>
  <si>
    <t>Spaltenbeschriftungen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</si>
</sst>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Standard" xfId="0" builtinId="0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19" formatCode="dd/mm/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[Praxisnacharbeitungs.xlsx]D3!PivotTable3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Anzahl</a:t>
            </a:r>
            <a:r>
              <a:rPr lang="en-US" baseline="0"/>
              <a:t> der Ausleihen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'D3'!$B$3:$B$4</c:f>
              <c:strCache>
                <c:ptCount val="1"/>
                <c:pt idx="0">
                  <c:v>Berlin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'D3'!$A$5:$A$11</c:f>
              <c:strCache>
                <c:ptCount val="6"/>
                <c:pt idx="0">
                  <c:v>Beamer</c:v>
                </c:pt>
                <c:pt idx="1">
                  <c:v>Drucker</c:v>
                </c:pt>
                <c:pt idx="2">
                  <c:v>Laptop</c:v>
                </c:pt>
                <c:pt idx="3">
                  <c:v>Monitor</c:v>
                </c:pt>
                <c:pt idx="4">
                  <c:v>Smartphone</c:v>
                </c:pt>
                <c:pt idx="5">
                  <c:v>Tablet</c:v>
                </c:pt>
              </c:strCache>
            </c:strRef>
          </c:cat>
          <c:val>
            <c:numRef>
              <c:f>'D3'!$B$5:$B$11</c:f>
              <c:numCache>
                <c:formatCode>General</c:formatCode>
                <c:ptCount val="6"/>
                <c:pt idx="0">
                  <c:v>7</c:v>
                </c:pt>
                <c:pt idx="1">
                  <c:v>9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C5-F743-AB6A-46612E34E0EC}"/>
            </c:ext>
          </c:extLst>
        </c:ser>
        <c:ser>
          <c:idx val="1"/>
          <c:order val="1"/>
          <c:tx>
            <c:strRef>
              <c:f>'D3'!$C$3:$C$4</c:f>
              <c:strCache>
                <c:ptCount val="1"/>
                <c:pt idx="0">
                  <c:v>Hamburg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'D3'!$A$5:$A$11</c:f>
              <c:strCache>
                <c:ptCount val="6"/>
                <c:pt idx="0">
                  <c:v>Beamer</c:v>
                </c:pt>
                <c:pt idx="1">
                  <c:v>Drucker</c:v>
                </c:pt>
                <c:pt idx="2">
                  <c:v>Laptop</c:v>
                </c:pt>
                <c:pt idx="3">
                  <c:v>Monitor</c:v>
                </c:pt>
                <c:pt idx="4">
                  <c:v>Smartphone</c:v>
                </c:pt>
                <c:pt idx="5">
                  <c:v>Tablet</c:v>
                </c:pt>
              </c:strCache>
            </c:strRef>
          </c:cat>
          <c:val>
            <c:numRef>
              <c:f>'D3'!$C$5:$C$11</c:f>
              <c:numCache>
                <c:formatCode>General</c:formatCode>
                <c:ptCount val="6"/>
                <c:pt idx="0">
                  <c:v>3</c:v>
                </c:pt>
                <c:pt idx="1">
                  <c:v>2</c:v>
                </c:pt>
                <c:pt idx="2">
                  <c:v>4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C5-F743-AB6A-46612E34E0EC}"/>
            </c:ext>
          </c:extLst>
        </c:ser>
        <c:ser>
          <c:idx val="2"/>
          <c:order val="2"/>
          <c:tx>
            <c:strRef>
              <c:f>'D3'!$D$3:$D$4</c:f>
              <c:strCache>
                <c:ptCount val="1"/>
                <c:pt idx="0">
                  <c:v>München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'D3'!$A$5:$A$11</c:f>
              <c:strCache>
                <c:ptCount val="6"/>
                <c:pt idx="0">
                  <c:v>Beamer</c:v>
                </c:pt>
                <c:pt idx="1">
                  <c:v>Drucker</c:v>
                </c:pt>
                <c:pt idx="2">
                  <c:v>Laptop</c:v>
                </c:pt>
                <c:pt idx="3">
                  <c:v>Monitor</c:v>
                </c:pt>
                <c:pt idx="4">
                  <c:v>Smartphone</c:v>
                </c:pt>
                <c:pt idx="5">
                  <c:v>Tablet</c:v>
                </c:pt>
              </c:strCache>
            </c:strRef>
          </c:cat>
          <c:val>
            <c:numRef>
              <c:f>'D3'!$D$5:$D$11</c:f>
              <c:numCache>
                <c:formatCode>General</c:formatCode>
                <c:ptCount val="6"/>
                <c:pt idx="0">
                  <c:v>2</c:v>
                </c:pt>
                <c:pt idx="1">
                  <c:v>1</c:v>
                </c:pt>
                <c:pt idx="2">
                  <c:v>6</c:v>
                </c:pt>
                <c:pt idx="3">
                  <c:v>2</c:v>
                </c:pt>
                <c:pt idx="4">
                  <c:v>4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9C5-F743-AB6A-46612E34E0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1714879"/>
        <c:axId val="1841716223"/>
      </c:barChart>
      <c:catAx>
        <c:axId val="1841714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41716223"/>
        <c:crosses val="autoZero"/>
        <c:auto val="1"/>
        <c:lblAlgn val="ctr"/>
        <c:lblOffset val="100"/>
        <c:noMultiLvlLbl val="0"/>
      </c:catAx>
      <c:valAx>
        <c:axId val="1841716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41714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[Praxisnacharbeitungs.xlsx]D3!PivotTable3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6469816272965873E-2"/>
          <c:y val="0.11574074074074074"/>
          <c:w val="0.74508136482939635"/>
          <c:h val="0.7772302420530766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'D3'!$B$3:$B$4</c:f>
              <c:strCache>
                <c:ptCount val="1"/>
                <c:pt idx="0">
                  <c:v>Berlin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'D3'!$A$5:$A$11</c:f>
              <c:strCache>
                <c:ptCount val="6"/>
                <c:pt idx="0">
                  <c:v>Beamer</c:v>
                </c:pt>
                <c:pt idx="1">
                  <c:v>Drucker</c:v>
                </c:pt>
                <c:pt idx="2">
                  <c:v>Laptop</c:v>
                </c:pt>
                <c:pt idx="3">
                  <c:v>Monitor</c:v>
                </c:pt>
                <c:pt idx="4">
                  <c:v>Smartphone</c:v>
                </c:pt>
                <c:pt idx="5">
                  <c:v>Tablet</c:v>
                </c:pt>
              </c:strCache>
            </c:strRef>
          </c:cat>
          <c:val>
            <c:numRef>
              <c:f>'D3'!$B$5:$B$11</c:f>
              <c:numCache>
                <c:formatCode>General</c:formatCode>
                <c:ptCount val="6"/>
                <c:pt idx="0">
                  <c:v>7</c:v>
                </c:pt>
                <c:pt idx="1">
                  <c:v>9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FB-2F43-B711-10DD257CC9A0}"/>
            </c:ext>
          </c:extLst>
        </c:ser>
        <c:ser>
          <c:idx val="1"/>
          <c:order val="1"/>
          <c:tx>
            <c:strRef>
              <c:f>'D3'!$C$3:$C$4</c:f>
              <c:strCache>
                <c:ptCount val="1"/>
                <c:pt idx="0">
                  <c:v>Hamburg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'D3'!$A$5:$A$11</c:f>
              <c:strCache>
                <c:ptCount val="6"/>
                <c:pt idx="0">
                  <c:v>Beamer</c:v>
                </c:pt>
                <c:pt idx="1">
                  <c:v>Drucker</c:v>
                </c:pt>
                <c:pt idx="2">
                  <c:v>Laptop</c:v>
                </c:pt>
                <c:pt idx="3">
                  <c:v>Monitor</c:v>
                </c:pt>
                <c:pt idx="4">
                  <c:v>Smartphone</c:v>
                </c:pt>
                <c:pt idx="5">
                  <c:v>Tablet</c:v>
                </c:pt>
              </c:strCache>
            </c:strRef>
          </c:cat>
          <c:val>
            <c:numRef>
              <c:f>'D3'!$C$5:$C$11</c:f>
              <c:numCache>
                <c:formatCode>General</c:formatCode>
                <c:ptCount val="6"/>
                <c:pt idx="0">
                  <c:v>3</c:v>
                </c:pt>
                <c:pt idx="1">
                  <c:v>2</c:v>
                </c:pt>
                <c:pt idx="2">
                  <c:v>4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FB-2F43-B711-10DD257CC9A0}"/>
            </c:ext>
          </c:extLst>
        </c:ser>
        <c:ser>
          <c:idx val="2"/>
          <c:order val="2"/>
          <c:tx>
            <c:strRef>
              <c:f>'D3'!$D$3:$D$4</c:f>
              <c:strCache>
                <c:ptCount val="1"/>
                <c:pt idx="0">
                  <c:v>München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'D3'!$A$5:$A$11</c:f>
              <c:strCache>
                <c:ptCount val="6"/>
                <c:pt idx="0">
                  <c:v>Beamer</c:v>
                </c:pt>
                <c:pt idx="1">
                  <c:v>Drucker</c:v>
                </c:pt>
                <c:pt idx="2">
                  <c:v>Laptop</c:v>
                </c:pt>
                <c:pt idx="3">
                  <c:v>Monitor</c:v>
                </c:pt>
                <c:pt idx="4">
                  <c:v>Smartphone</c:v>
                </c:pt>
                <c:pt idx="5">
                  <c:v>Tablet</c:v>
                </c:pt>
              </c:strCache>
            </c:strRef>
          </c:cat>
          <c:val>
            <c:numRef>
              <c:f>'D3'!$D$5:$D$11</c:f>
              <c:numCache>
                <c:formatCode>General</c:formatCode>
                <c:ptCount val="6"/>
                <c:pt idx="0">
                  <c:v>2</c:v>
                </c:pt>
                <c:pt idx="1">
                  <c:v>1</c:v>
                </c:pt>
                <c:pt idx="2">
                  <c:v>6</c:v>
                </c:pt>
                <c:pt idx="3">
                  <c:v>2</c:v>
                </c:pt>
                <c:pt idx="4">
                  <c:v>4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FB-2F43-B711-10DD257CC9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42974207"/>
        <c:axId val="1842822463"/>
      </c:barChart>
      <c:catAx>
        <c:axId val="184297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42822463"/>
        <c:crosses val="autoZero"/>
        <c:auto val="1"/>
        <c:lblAlgn val="ctr"/>
        <c:lblOffset val="100"/>
        <c:noMultiLvlLbl val="0"/>
      </c:catAx>
      <c:valAx>
        <c:axId val="1842822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42974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anchor="b" anchorCtr="0"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254000</xdr:colOff>
      <xdr:row>0</xdr:row>
      <xdr:rowOff>177800</xdr:rowOff>
    </xdr:from>
    <xdr:to>
      <xdr:col>11</xdr:col>
      <xdr:colOff>711200</xdr:colOff>
      <xdr:row>14</xdr:row>
      <xdr:rowOff>76200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FBD47187-90F7-EACB-F3E3-BE9E63CDDF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330200</xdr:colOff>
      <xdr:row>16</xdr:row>
      <xdr:rowOff>165100</xdr:rowOff>
    </xdr:from>
    <xdr:to>
      <xdr:col>6</xdr:col>
      <xdr:colOff>711200</xdr:colOff>
      <xdr:row>35</xdr:row>
      <xdr:rowOff>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4AFA2D5A-F564-9CBE-82B9-884D8D67E8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0.38889</cdr:x>
      <cdr:y>0.05093</cdr:y>
    </cdr:from>
    <cdr:to>
      <cdr:x>0.64167</cdr:x>
      <cdr:y>0.15741</cdr:y>
    </cdr:to>
    <cdr:sp macro="" textlink="">
      <cdr:nvSpPr>
        <cdr:cNvPr id="2" name="Textfeld 1">
          <a:extLst xmlns:a="http://schemas.openxmlformats.org/drawingml/2006/main">
            <a:ext uri="{FF2B5EF4-FFF2-40B4-BE49-F238E27FC236}">
              <a16:creationId xmlns:a16="http://schemas.microsoft.com/office/drawing/2014/main" id="{4EA1370F-E2BE-E4B8-DC3A-2B1C14ABC660}"/>
            </a:ext>
          </a:extLst>
        </cdr:cNvPr>
        <cdr:cNvSpPr txBox="1"/>
      </cdr:nvSpPr>
      <cdr:spPr>
        <a:xfrm xmlns:a="http://schemas.openxmlformats.org/drawingml/2006/main">
          <a:off x="1778000" y="139700"/>
          <a:ext cx="1155700" cy="2921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de-DE" sz="1100" kern="1200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ulin Adelina" refreshedDate="46305.599090740739" createdVersion="8" refreshedVersion="8" minRefreshableVersion="3" recordCount="45" xr:uid="{E46CE8D7-F0A3-004B-92E4-6CA22AB46174}">
  <cacheSource type="worksheet">
    <worksheetSource name="Gesamt"/>
  </cacheSource>
  <cacheFields count="19">
    <cacheField name="Gerätenummer" numFmtId="0">
      <sharedItems/>
    </cacheField>
    <cacheField name="Mitarbeiter-ID" numFmtId="0">
      <sharedItems containsSemiMixedTypes="0" containsString="0" containsNumber="1" containsInteger="1" minValue="1001" maxValue="1012"/>
    </cacheField>
    <cacheField name="Ausgabe am" numFmtId="14">
      <sharedItems containsSemiMixedTypes="0" containsNonDate="0" containsDate="1" containsString="0" minDate="2023-12-01T00:00:00" maxDate="2025-10-01T00:00:00" count="42">
        <d v="2024-05-09T00:00:00"/>
        <d v="2024-04-07T00:00:00"/>
        <d v="2024-01-06T00:00:00"/>
        <d v="2024-05-05T00:00:00"/>
        <d v="2024-02-08T00:00:00"/>
        <d v="2025-06-19T00:00:00"/>
        <d v="2025-05-22T00:00:00"/>
        <d v="2025-09-30T00:00:00"/>
        <d v="2024-03-24T00:00:00"/>
        <d v="2025-03-27T00:00:00"/>
        <d v="2025-08-23T00:00:00"/>
        <d v="2025-07-28T00:00:00"/>
        <d v="2025-05-31T00:00:00"/>
        <d v="2024-11-03T00:00:00"/>
        <d v="2025-07-12T00:00:00"/>
        <d v="2024-09-09T00:00:00"/>
        <d v="2025-08-11T00:00:00"/>
        <d v="2025-06-29T00:00:00"/>
        <d v="2024-08-19T00:00:00"/>
        <d v="2024-12-04T00:00:00"/>
        <d v="2024-10-30T00:00:00"/>
        <d v="2024-05-07T00:00:00"/>
        <d v="2024-01-28T00:00:00"/>
        <d v="2025-09-21T00:00:00"/>
        <d v="2024-03-26T00:00:00"/>
        <d v="2024-08-15T00:00:00"/>
        <d v="2025-08-30T00:00:00"/>
        <d v="2024-07-20T00:00:00"/>
        <d v="2024-10-03T00:00:00"/>
        <d v="2024-01-29T00:00:00"/>
        <d v="2024-02-14T00:00:00"/>
        <d v="2024-04-21T00:00:00"/>
        <d v="2025-05-15T00:00:00"/>
        <d v="2023-12-01T00:00:00"/>
        <d v="2025-01-18T00:00:00"/>
        <d v="2024-08-04T00:00:00"/>
        <d v="2024-11-26T00:00:00"/>
        <d v="2024-12-15T00:00:00"/>
        <d v="2025-03-24T00:00:00"/>
        <d v="2025-03-25T00:00:00"/>
        <d v="2025-05-18T00:00:00"/>
        <d v="2024-07-03T00:00:00"/>
      </sharedItems>
      <fieldGroup par="18"/>
    </cacheField>
    <cacheField name="Rückgabe am" numFmtId="14">
      <sharedItems containsNonDate="0" containsDate="1" containsString="0" containsBlank="1" minDate="2024-06-27T00:00:00" maxDate="2025-10-06T00:00:00" count="30">
        <m/>
        <d v="2025-06-09T00:00:00"/>
        <d v="2025-09-08T00:00:00"/>
        <d v="2025-05-31T00:00:00"/>
        <d v="2025-10-05T00:00:00"/>
        <d v="2025-07-30T00:00:00"/>
        <d v="2025-09-22T00:00:00"/>
        <d v="2025-06-10T00:00:00"/>
        <d v="2025-07-15T00:00:00"/>
        <d v="2025-07-16T00:00:00"/>
        <d v="2025-08-29T00:00:00"/>
        <d v="2025-03-16T00:00:00"/>
        <d v="2024-12-04T00:00:00"/>
        <d v="2024-06-27T00:00:00"/>
        <d v="2025-02-26T00:00:00"/>
        <d v="2025-10-04T00:00:00"/>
        <d v="2025-08-17T00:00:00"/>
        <d v="2025-09-30T00:00:00"/>
        <d v="2025-01-06T00:00:00"/>
        <d v="2024-11-27T00:00:00"/>
        <d v="2025-07-01T00:00:00"/>
        <d v="2025-09-05T00:00:00"/>
        <d v="2024-09-24T00:00:00"/>
        <d v="2025-08-02T00:00:00"/>
        <d v="2025-03-03T00:00:00"/>
        <d v="2025-08-12T00:00:00"/>
        <d v="2025-05-07T00:00:00"/>
        <d v="2025-09-25T00:00:00"/>
        <d v="2025-07-08T00:00:00"/>
        <d v="2025-10-02T00:00:00"/>
      </sharedItems>
      <fieldGroup par="15"/>
    </cacheField>
    <cacheField name="Gerätenummer.1" numFmtId="0">
      <sharedItems/>
    </cacheField>
    <cacheField name="Gerätetyp" numFmtId="0">
      <sharedItems count="6">
        <s v="Beamer"/>
        <s v="Drucker"/>
        <s v="Laptop"/>
        <s v="Monitor"/>
        <s v="Smartphone"/>
        <s v="Tablet"/>
      </sharedItems>
    </cacheField>
    <cacheField name="Modell" numFmtId="0">
      <sharedItems/>
    </cacheField>
    <cacheField name="Kaufdatum" numFmtId="14">
      <sharedItems containsSemiMixedTypes="0" containsNonDate="0" containsDate="1" containsString="0" minDate="2021-03-03T00:00:00" maxDate="2025-09-10T00:00:00"/>
    </cacheField>
    <cacheField name="Netto-Kaufpreis" numFmtId="0">
      <sharedItems containsSemiMixedTypes="0" containsString="0" containsNumber="1" minValue="501.64" maxValue="1898.65"/>
    </cacheField>
    <cacheField name="Standort" numFmtId="0">
      <sharedItems count="3">
        <s v="Berlin"/>
        <s v="München"/>
        <s v="Hamburg"/>
      </sharedItems>
    </cacheField>
    <cacheField name="Name" numFmtId="0">
      <sharedItems/>
    </cacheField>
    <cacheField name="Abteilung" numFmtId="0">
      <sharedItems/>
    </cacheField>
    <cacheField name="Standort.1" numFmtId="0">
      <sharedItems/>
    </cacheField>
    <cacheField name="Monate (Rückgabe am)" numFmtId="0" databaseField="0">
      <fieldGroup base="3">
        <rangePr groupBy="months" startDate="2024-06-27T00:00:00" endDate="2025-10-06T00:00:00"/>
        <groupItems count="14">
          <s v="&lt;27.06.24"/>
          <s v="Jan"/>
          <s v="Feb"/>
          <s v="Mär"/>
          <s v="Apr"/>
          <s v="Mai"/>
          <s v="Jun"/>
          <s v="Jul"/>
          <s v="Aug"/>
          <s v="Sep"/>
          <s v="Okt"/>
          <s v="Nov"/>
          <s v="Dez"/>
          <s v="&gt;06.10.25"/>
        </groupItems>
      </fieldGroup>
    </cacheField>
    <cacheField name="Quartale (Rückgabe am)" numFmtId="0" databaseField="0">
      <fieldGroup base="3">
        <rangePr groupBy="quarters" startDate="2024-06-27T00:00:00" endDate="2025-10-06T00:00:00"/>
        <groupItems count="6">
          <s v="&lt;27.06.24"/>
          <s v="Qrtl1"/>
          <s v="Qrtl2"/>
          <s v="Qrtl3"/>
          <s v="Qrtl4"/>
          <s v="&gt;06.10.25"/>
        </groupItems>
      </fieldGroup>
    </cacheField>
    <cacheField name="Jahre (Rückgabe am)" numFmtId="0" databaseField="0">
      <fieldGroup base="3">
        <rangePr groupBy="years" startDate="2024-06-27T00:00:00" endDate="2025-10-06T00:00:00"/>
        <groupItems count="4">
          <s v="&lt;27.06.24"/>
          <s v="2024"/>
          <s v="2025"/>
          <s v="&gt;06.10.25"/>
        </groupItems>
      </fieldGroup>
    </cacheField>
    <cacheField name="Monate (Ausgabe am)" numFmtId="0" databaseField="0">
      <fieldGroup base="2">
        <rangePr groupBy="months" startDate="2023-12-01T00:00:00" endDate="2025-10-01T00:00:00"/>
        <groupItems count="14">
          <s v="&lt;01.12.23"/>
          <s v="Jan"/>
          <s v="Feb"/>
          <s v="Mär"/>
          <s v="Apr"/>
          <s v="Mai"/>
          <s v="Jun"/>
          <s v="Jul"/>
          <s v="Aug"/>
          <s v="Sep"/>
          <s v="Okt"/>
          <s v="Nov"/>
          <s v="Dez"/>
          <s v="&gt;01.10.25"/>
        </groupItems>
      </fieldGroup>
    </cacheField>
    <cacheField name="Quartale (Ausgabe am)" numFmtId="0" databaseField="0">
      <fieldGroup base="2">
        <rangePr groupBy="quarters" startDate="2023-12-01T00:00:00" endDate="2025-10-01T00:00:00"/>
        <groupItems count="6">
          <s v="&lt;01.12.23"/>
          <s v="Qrtl1"/>
          <s v="Qrtl2"/>
          <s v="Qrtl3"/>
          <s v="Qrtl4"/>
          <s v="&gt;01.10.25"/>
        </groupItems>
      </fieldGroup>
    </cacheField>
    <cacheField name="Jahre (Ausgabe am)" numFmtId="0" databaseField="0">
      <fieldGroup base="2">
        <rangePr groupBy="years" startDate="2023-12-01T00:00:00" endDate="2025-10-01T00:00:00"/>
        <groupItems count="5">
          <s v="&lt;01.12.23"/>
          <s v="2023"/>
          <s v="2024"/>
          <s v="2025"/>
          <s v="&gt;01.10.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s v="G0035"/>
    <n v="1009"/>
    <x v="0"/>
    <x v="0"/>
    <s v="G0035"/>
    <x v="0"/>
    <s v="BenQ MW550"/>
    <d v="2024-01-03T00:00:00"/>
    <n v="644.54"/>
    <x v="0"/>
    <s v="Univ.Prof. Heimo Karge"/>
    <s v="Marketing"/>
    <s v="Hamburg"/>
  </r>
  <r>
    <s v="G0005"/>
    <n v="1009"/>
    <x v="1"/>
    <x v="0"/>
    <s v="G0005"/>
    <x v="1"/>
    <s v="Canon Pixma"/>
    <d v="2021-11-03T00:00:00"/>
    <n v="823.23"/>
    <x v="0"/>
    <s v="Univ.Prof. Heimo Karge"/>
    <s v="Marketing"/>
    <s v="Hamburg"/>
  </r>
  <r>
    <s v="G0035"/>
    <n v="1001"/>
    <x v="2"/>
    <x v="0"/>
    <s v="G0035"/>
    <x v="0"/>
    <s v="BenQ MW550"/>
    <d v="2024-01-03T00:00:00"/>
    <n v="644.54"/>
    <x v="0"/>
    <s v="Aleksandr Weinhage"/>
    <s v="IT"/>
    <s v="Berlin"/>
  </r>
  <r>
    <s v="G0035"/>
    <n v="1003"/>
    <x v="3"/>
    <x v="0"/>
    <s v="G0035"/>
    <x v="0"/>
    <s v="BenQ MW550"/>
    <d v="2024-01-03T00:00:00"/>
    <n v="644.54"/>
    <x v="0"/>
    <s v="Paul Dobes-Stiffel"/>
    <s v="Produktion"/>
    <s v="Hamburg"/>
  </r>
  <r>
    <s v="G0016"/>
    <n v="1003"/>
    <x v="4"/>
    <x v="1"/>
    <s v="G0016"/>
    <x v="1"/>
    <s v="Canon Pixma"/>
    <d v="2023-03-30T00:00:00"/>
    <n v="1501.06"/>
    <x v="0"/>
    <s v="Paul Dobes-Stiffel"/>
    <s v="Produktion"/>
    <s v="Hamburg"/>
  </r>
  <r>
    <s v="G0004"/>
    <n v="1003"/>
    <x v="5"/>
    <x v="2"/>
    <s v="G0004"/>
    <x v="2"/>
    <s v="Dell XPS"/>
    <d v="2025-05-05T00:00:00"/>
    <n v="1007.88"/>
    <x v="1"/>
    <s v="Paul Dobes-Stiffel"/>
    <s v="Produktion"/>
    <s v="Hamburg"/>
  </r>
  <r>
    <s v="G0016"/>
    <n v="1002"/>
    <x v="6"/>
    <x v="3"/>
    <s v="G0016"/>
    <x v="1"/>
    <s v="Canon Pixma"/>
    <d v="2023-03-30T00:00:00"/>
    <n v="1501.06"/>
    <x v="0"/>
    <s v="Eleni Hauffer"/>
    <s v="IT"/>
    <s v="Berlin"/>
  </r>
  <r>
    <s v="G0021"/>
    <n v="1008"/>
    <x v="7"/>
    <x v="4"/>
    <s v="G0021"/>
    <x v="3"/>
    <s v="Samsung Curved"/>
    <d v="2023-02-22T00:00:00"/>
    <n v="1134.1600000000001"/>
    <x v="1"/>
    <s v="Dipl.-Ing. Klaus-Werner Holsten B.Sc."/>
    <s v="IT"/>
    <s v="Hamburg"/>
  </r>
  <r>
    <s v="G0024"/>
    <n v="1008"/>
    <x v="8"/>
    <x v="0"/>
    <s v="G0024"/>
    <x v="3"/>
    <s v="Dell UltraSharp"/>
    <d v="2022-03-01T00:00:00"/>
    <n v="750.91"/>
    <x v="0"/>
    <s v="Dipl.-Ing. Klaus-Werner Holsten B.Sc."/>
    <s v="IT"/>
    <s v="Hamburg"/>
  </r>
  <r>
    <s v="G0024"/>
    <n v="1005"/>
    <x v="9"/>
    <x v="5"/>
    <s v="G0024"/>
    <x v="3"/>
    <s v="Dell UltraSharp"/>
    <d v="2022-03-01T00:00:00"/>
    <n v="750.91"/>
    <x v="0"/>
    <s v="Alexandre Davids"/>
    <s v="Vertrieb"/>
    <s v="Berlin"/>
  </r>
  <r>
    <s v="G0005"/>
    <n v="1006"/>
    <x v="10"/>
    <x v="6"/>
    <s v="G0005"/>
    <x v="1"/>
    <s v="Canon Pixma"/>
    <d v="2021-11-03T00:00:00"/>
    <n v="823.23"/>
    <x v="0"/>
    <s v="Eric Patberg B.Sc."/>
    <s v="Vertrieb"/>
    <s v="Hamburg"/>
  </r>
  <r>
    <s v="G0016"/>
    <n v="1010"/>
    <x v="11"/>
    <x v="0"/>
    <s v="G0016"/>
    <x v="1"/>
    <s v="Canon Pixma"/>
    <d v="2023-03-30T00:00:00"/>
    <n v="1501.06"/>
    <x v="0"/>
    <s v="Carolin Hande"/>
    <s v="IT"/>
    <s v="Hamburg"/>
  </r>
  <r>
    <s v="G0006"/>
    <n v="1012"/>
    <x v="12"/>
    <x v="7"/>
    <s v="G0006"/>
    <x v="4"/>
    <s v="Samsung S21"/>
    <d v="2024-01-01T00:00:00"/>
    <n v="1257.96"/>
    <x v="1"/>
    <s v="Ariane Klemt-Kaul"/>
    <s v="IT"/>
    <s v="München"/>
  </r>
  <r>
    <s v="G0005"/>
    <n v="1012"/>
    <x v="13"/>
    <x v="0"/>
    <s v="G0005"/>
    <x v="1"/>
    <s v="Canon Pixma"/>
    <d v="2021-11-03T00:00:00"/>
    <n v="823.23"/>
    <x v="0"/>
    <s v="Ariane Klemt-Kaul"/>
    <s v="IT"/>
    <s v="München"/>
  </r>
  <r>
    <s v="G0009"/>
    <n v="1011"/>
    <x v="14"/>
    <x v="8"/>
    <s v="G0009"/>
    <x v="2"/>
    <s v="Dell XPS"/>
    <d v="2023-04-10T00:00:00"/>
    <n v="1458.02"/>
    <x v="1"/>
    <s v="Auguste Davids"/>
    <s v="IT"/>
    <s v="Hamburg"/>
  </r>
  <r>
    <s v="G0007"/>
    <n v="1001"/>
    <x v="15"/>
    <x v="9"/>
    <s v="G0007"/>
    <x v="2"/>
    <s v="Lenovo ThinkPad"/>
    <d v="2021-06-13T00:00:00"/>
    <n v="869.09"/>
    <x v="2"/>
    <s v="Aleksandr Weinhage"/>
    <s v="IT"/>
    <s v="Berlin"/>
  </r>
  <r>
    <s v="G0007"/>
    <n v="1001"/>
    <x v="16"/>
    <x v="0"/>
    <s v="G0007"/>
    <x v="2"/>
    <s v="Lenovo ThinkPad"/>
    <d v="2021-06-13T00:00:00"/>
    <n v="869.09"/>
    <x v="2"/>
    <s v="Aleksandr Weinhage"/>
    <s v="IT"/>
    <s v="Berlin"/>
  </r>
  <r>
    <s v="G0011"/>
    <n v="1005"/>
    <x v="17"/>
    <x v="10"/>
    <s v="G0011"/>
    <x v="1"/>
    <s v="Brother HL"/>
    <d v="2025-09-09T00:00:00"/>
    <n v="1417.1"/>
    <x v="1"/>
    <s v="Alexandre Davids"/>
    <s v="Vertrieb"/>
    <s v="Berlin"/>
  </r>
  <r>
    <s v="G0028"/>
    <n v="1004"/>
    <x v="18"/>
    <x v="0"/>
    <s v="G0028"/>
    <x v="0"/>
    <s v="Epson EB"/>
    <d v="2023-01-19T00:00:00"/>
    <n v="1246.58"/>
    <x v="2"/>
    <s v="Klemens Löffler"/>
    <s v="Vertrieb"/>
    <s v="Hamburg"/>
  </r>
  <r>
    <s v="G0028"/>
    <n v="1006"/>
    <x v="19"/>
    <x v="11"/>
    <s v="G0028"/>
    <x v="0"/>
    <s v="Epson EB"/>
    <d v="2023-01-19T00:00:00"/>
    <n v="1246.58"/>
    <x v="2"/>
    <s v="Eric Patberg B.Sc."/>
    <s v="Vertrieb"/>
    <s v="Hamburg"/>
  </r>
  <r>
    <s v="G0028"/>
    <n v="1003"/>
    <x v="20"/>
    <x v="12"/>
    <s v="G0028"/>
    <x v="0"/>
    <s v="Epson EB"/>
    <d v="2023-01-19T00:00:00"/>
    <n v="1246.58"/>
    <x v="2"/>
    <s v="Paul Dobes-Stiffel"/>
    <s v="Produktion"/>
    <s v="Hamburg"/>
  </r>
  <r>
    <s v="G0013"/>
    <n v="1012"/>
    <x v="21"/>
    <x v="13"/>
    <s v="G0013"/>
    <x v="1"/>
    <s v="Canon Pixma"/>
    <d v="2021-05-16T00:00:00"/>
    <n v="1898.65"/>
    <x v="2"/>
    <s v="Ariane Klemt-Kaul"/>
    <s v="IT"/>
    <s v="München"/>
  </r>
  <r>
    <s v="G0013"/>
    <n v="1009"/>
    <x v="22"/>
    <x v="14"/>
    <s v="G0013"/>
    <x v="1"/>
    <s v="Canon Pixma"/>
    <d v="2021-05-16T00:00:00"/>
    <n v="1898.65"/>
    <x v="2"/>
    <s v="Univ.Prof. Heimo Karge"/>
    <s v="Marketing"/>
    <s v="Hamburg"/>
  </r>
  <r>
    <s v="G0029"/>
    <n v="1002"/>
    <x v="23"/>
    <x v="15"/>
    <s v="G0029"/>
    <x v="2"/>
    <s v="Lenovo ThinkPad"/>
    <d v="2021-05-21T00:00:00"/>
    <n v="1553.15"/>
    <x v="2"/>
    <s v="Eleni Hauffer"/>
    <s v="IT"/>
    <s v="Berlin"/>
  </r>
  <r>
    <s v="G0015"/>
    <n v="1010"/>
    <x v="24"/>
    <x v="16"/>
    <s v="G0015"/>
    <x v="4"/>
    <s v="iPhone 13"/>
    <d v="2022-09-20T00:00:00"/>
    <n v="661.44"/>
    <x v="1"/>
    <s v="Carolin Hande"/>
    <s v="IT"/>
    <s v="Hamburg"/>
  </r>
  <r>
    <s v="G0015"/>
    <n v="1002"/>
    <x v="25"/>
    <x v="0"/>
    <s v="G0015"/>
    <x v="4"/>
    <s v="iPhone 13"/>
    <d v="2022-09-20T00:00:00"/>
    <n v="661.44"/>
    <x v="1"/>
    <s v="Eleni Hauffer"/>
    <s v="IT"/>
    <s v="Berlin"/>
  </r>
  <r>
    <s v="G0022"/>
    <n v="1002"/>
    <x v="26"/>
    <x v="17"/>
    <s v="G0022"/>
    <x v="5"/>
    <s v="iPad"/>
    <d v="2024-08-20T00:00:00"/>
    <n v="1591.98"/>
    <x v="2"/>
    <s v="Eleni Hauffer"/>
    <s v="IT"/>
    <s v="Berlin"/>
  </r>
  <r>
    <s v="G0022"/>
    <n v="1002"/>
    <x v="27"/>
    <x v="18"/>
    <s v="G0022"/>
    <x v="5"/>
    <s v="iPad"/>
    <d v="2024-08-20T00:00:00"/>
    <n v="1591.98"/>
    <x v="2"/>
    <s v="Eleni Hauffer"/>
    <s v="IT"/>
    <s v="Berlin"/>
  </r>
  <r>
    <s v="G0018"/>
    <n v="1011"/>
    <x v="28"/>
    <x v="19"/>
    <s v="G0018"/>
    <x v="5"/>
    <s v="iPad"/>
    <d v="2022-10-05T00:00:00"/>
    <n v="1688.07"/>
    <x v="1"/>
    <s v="Auguste Davids"/>
    <s v="IT"/>
    <s v="Hamburg"/>
  </r>
  <r>
    <s v="G0031"/>
    <n v="1004"/>
    <x v="29"/>
    <x v="0"/>
    <s v="G0031"/>
    <x v="2"/>
    <s v="HP EliteBook"/>
    <d v="2025-04-28T00:00:00"/>
    <n v="1095.6199999999999"/>
    <x v="1"/>
    <s v="Klemens Löffler"/>
    <s v="Vertrieb"/>
    <s v="Hamburg"/>
  </r>
  <r>
    <s v="G0031"/>
    <n v="1004"/>
    <x v="30"/>
    <x v="0"/>
    <s v="G0031"/>
    <x v="2"/>
    <s v="HP EliteBook"/>
    <d v="2025-04-28T00:00:00"/>
    <n v="1095.6199999999999"/>
    <x v="1"/>
    <s v="Klemens Löffler"/>
    <s v="Vertrieb"/>
    <s v="Hamburg"/>
  </r>
  <r>
    <s v="G0027"/>
    <n v="1004"/>
    <x v="31"/>
    <x v="20"/>
    <s v="G0027"/>
    <x v="3"/>
    <s v="Samsung Curved"/>
    <d v="2022-07-24T00:00:00"/>
    <n v="501.64"/>
    <x v="1"/>
    <s v="Klemens Löffler"/>
    <s v="Vertrieb"/>
    <s v="Hamburg"/>
  </r>
  <r>
    <s v="G0030"/>
    <n v="1012"/>
    <x v="32"/>
    <x v="21"/>
    <s v="G0030"/>
    <x v="0"/>
    <s v="Epson EB"/>
    <d v="2022-03-27T00:00:00"/>
    <n v="1629.76"/>
    <x v="1"/>
    <s v="Ariane Klemt-Kaul"/>
    <s v="IT"/>
    <s v="München"/>
  </r>
  <r>
    <s v="G0030"/>
    <n v="1005"/>
    <x v="33"/>
    <x v="22"/>
    <s v="G0030"/>
    <x v="0"/>
    <s v="Epson EB"/>
    <d v="2022-03-27T00:00:00"/>
    <n v="1629.76"/>
    <x v="1"/>
    <s v="Alexandre Davids"/>
    <s v="Vertrieb"/>
    <s v="Berlin"/>
  </r>
  <r>
    <s v="G0025"/>
    <n v="1005"/>
    <x v="34"/>
    <x v="0"/>
    <s v="G0025"/>
    <x v="0"/>
    <s v="Epson EB"/>
    <d v="2023-12-06T00:00:00"/>
    <n v="545.46"/>
    <x v="0"/>
    <s v="Alexandre Davids"/>
    <s v="Vertrieb"/>
    <s v="Berlin"/>
  </r>
  <r>
    <s v="G0032"/>
    <n v="1003"/>
    <x v="35"/>
    <x v="23"/>
    <s v="G0032"/>
    <x v="2"/>
    <s v="Lenovo ThinkPad"/>
    <d v="2022-11-11T00:00:00"/>
    <n v="1801.36"/>
    <x v="1"/>
    <s v="Paul Dobes-Stiffel"/>
    <s v="Produktion"/>
    <s v="Hamburg"/>
  </r>
  <r>
    <s v="G0014"/>
    <n v="1001"/>
    <x v="36"/>
    <x v="24"/>
    <s v="G0014"/>
    <x v="2"/>
    <s v="Lenovo ThinkPad"/>
    <d v="2021-03-03T00:00:00"/>
    <n v="1415.97"/>
    <x v="2"/>
    <s v="Aleksandr Weinhage"/>
    <s v="IT"/>
    <s v="Berlin"/>
  </r>
  <r>
    <s v="G0035"/>
    <n v="1001"/>
    <x v="37"/>
    <x v="0"/>
    <s v="G0035"/>
    <x v="0"/>
    <s v="BenQ MW550"/>
    <d v="2024-01-03T00:00:00"/>
    <n v="644.54"/>
    <x v="0"/>
    <s v="Aleksandr Weinhage"/>
    <s v="IT"/>
    <s v="Berlin"/>
  </r>
  <r>
    <s v="G0004"/>
    <n v="1001"/>
    <x v="16"/>
    <x v="25"/>
    <s v="G0004"/>
    <x v="2"/>
    <s v="Dell XPS"/>
    <d v="2025-05-05T00:00:00"/>
    <n v="1007.88"/>
    <x v="1"/>
    <s v="Aleksandr Weinhage"/>
    <s v="IT"/>
    <s v="Berlin"/>
  </r>
  <r>
    <s v="G0033"/>
    <n v="1009"/>
    <x v="38"/>
    <x v="26"/>
    <s v="G0033"/>
    <x v="0"/>
    <s v="BenQ MW550"/>
    <d v="2022-03-03T00:00:00"/>
    <n v="1212.29"/>
    <x v="0"/>
    <s v="Univ.Prof. Heimo Karge"/>
    <s v="Marketing"/>
    <s v="Hamburg"/>
  </r>
  <r>
    <s v="G0033"/>
    <n v="1002"/>
    <x v="39"/>
    <x v="0"/>
    <s v="G0033"/>
    <x v="0"/>
    <s v="BenQ MW550"/>
    <d v="2022-03-03T00:00:00"/>
    <n v="1212.29"/>
    <x v="0"/>
    <s v="Eleni Hauffer"/>
    <s v="IT"/>
    <s v="Berlin"/>
  </r>
  <r>
    <s v="G0005"/>
    <n v="1010"/>
    <x v="26"/>
    <x v="27"/>
    <s v="G0005"/>
    <x v="1"/>
    <s v="Canon Pixma"/>
    <d v="2021-11-03T00:00:00"/>
    <n v="823.23"/>
    <x v="0"/>
    <s v="Carolin Hande"/>
    <s v="IT"/>
    <s v="Hamburg"/>
  </r>
  <r>
    <s v="G0016"/>
    <n v="1007"/>
    <x v="40"/>
    <x v="28"/>
    <s v="G0016"/>
    <x v="1"/>
    <s v="Canon Pixma"/>
    <d v="2023-03-30T00:00:00"/>
    <n v="1501.06"/>
    <x v="0"/>
    <s v="Orhan Siering MBA."/>
    <s v="IT"/>
    <s v="Berlin"/>
  </r>
  <r>
    <s v="G0016"/>
    <n v="1010"/>
    <x v="12"/>
    <x v="29"/>
    <s v="G0016"/>
    <x v="1"/>
    <s v="Canon Pixma"/>
    <d v="2023-03-30T00:00:00"/>
    <n v="1501.06"/>
    <x v="0"/>
    <s v="Carolin Hande"/>
    <s v="IT"/>
    <s v="Hamburg"/>
  </r>
  <r>
    <s v="G0006"/>
    <n v="1007"/>
    <x v="41"/>
    <x v="0"/>
    <s v="G0006"/>
    <x v="4"/>
    <s v="Samsung S21"/>
    <d v="2024-01-01T00:00:00"/>
    <n v="1257.96"/>
    <x v="1"/>
    <s v="Orhan Siering MBA."/>
    <s v="IT"/>
    <s v="Berli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4109FD-CDD1-094C-8E56-2B6B236311CE}" name="PivotTable1" cacheId="8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19">
    <pivotField showAll="0"/>
    <pivotField showAll="0"/>
    <pivotField numFmtId="14" showAll="0">
      <items count="43">
        <item x="33"/>
        <item x="2"/>
        <item x="22"/>
        <item x="29"/>
        <item x="4"/>
        <item x="30"/>
        <item x="8"/>
        <item x="24"/>
        <item x="1"/>
        <item x="31"/>
        <item x="3"/>
        <item x="21"/>
        <item x="0"/>
        <item x="41"/>
        <item x="27"/>
        <item x="35"/>
        <item x="25"/>
        <item x="18"/>
        <item x="15"/>
        <item x="28"/>
        <item x="20"/>
        <item x="13"/>
        <item x="36"/>
        <item x="19"/>
        <item x="37"/>
        <item x="34"/>
        <item x="38"/>
        <item x="39"/>
        <item x="9"/>
        <item x="32"/>
        <item x="40"/>
        <item x="6"/>
        <item x="12"/>
        <item x="5"/>
        <item x="17"/>
        <item x="14"/>
        <item x="11"/>
        <item x="16"/>
        <item x="10"/>
        <item x="26"/>
        <item x="23"/>
        <item x="7"/>
        <item t="default"/>
      </items>
    </pivotField>
    <pivotField axis="axisPage" multipleItemSelectionAllowed="1" showAll="0">
      <items count="31">
        <item x="13"/>
        <item x="22"/>
        <item x="19"/>
        <item x="12"/>
        <item x="18"/>
        <item x="14"/>
        <item x="24"/>
        <item x="11"/>
        <item x="26"/>
        <item x="3"/>
        <item x="1"/>
        <item x="7"/>
        <item x="20"/>
        <item x="28"/>
        <item x="8"/>
        <item x="9"/>
        <item x="5"/>
        <item x="23"/>
        <item x="25"/>
        <item x="16"/>
        <item x="10"/>
        <item x="21"/>
        <item x="2"/>
        <item x="6"/>
        <item x="27"/>
        <item x="17"/>
        <item x="29"/>
        <item x="15"/>
        <item x="4"/>
        <item h="1" x="0"/>
        <item t="default"/>
      </items>
    </pivotField>
    <pivotField showAll="0"/>
    <pivotField showAll="0"/>
    <pivotField showAll="0"/>
    <pivotField numFmtId="14" showAll="0"/>
    <pivotField dataField="1"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sd="0" x="1"/>
        <item sd="0" x="2"/>
        <item sd="0" x="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3">
    <field x="15"/>
    <field x="14"/>
    <field x="13"/>
  </rowFields>
  <rowItems count="3">
    <i>
      <x v="1"/>
    </i>
    <i>
      <x v="2"/>
    </i>
    <i t="grand">
      <x/>
    </i>
  </rowItems>
  <colItems count="1">
    <i/>
  </colItems>
  <pageFields count="1">
    <pageField fld="3" hier="-1"/>
  </pageFields>
  <dataFields count="1">
    <dataField name="Summe von Netto-Kaufprei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1E5D39-6D27-C04B-94CE-2043FDB12A2D}" name="PivotTable3" cacheId="8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 chartFormat="4">
  <location ref="A3:E11" firstHeaderRow="1" firstDataRow="2" firstDataCol="1"/>
  <pivotFields count="19">
    <pivotField showAll="0"/>
    <pivotField showAll="0"/>
    <pivotField numFmtId="14" showAll="0">
      <items count="43">
        <item x="33"/>
        <item x="2"/>
        <item x="22"/>
        <item x="29"/>
        <item x="4"/>
        <item x="30"/>
        <item x="8"/>
        <item x="24"/>
        <item x="1"/>
        <item x="31"/>
        <item x="3"/>
        <item x="21"/>
        <item x="0"/>
        <item x="41"/>
        <item x="27"/>
        <item x="35"/>
        <item x="25"/>
        <item x="18"/>
        <item x="15"/>
        <item x="28"/>
        <item x="20"/>
        <item x="13"/>
        <item x="36"/>
        <item x="19"/>
        <item x="37"/>
        <item x="34"/>
        <item x="38"/>
        <item x="39"/>
        <item x="9"/>
        <item x="32"/>
        <item x="40"/>
        <item x="6"/>
        <item x="12"/>
        <item x="5"/>
        <item x="17"/>
        <item x="14"/>
        <item x="11"/>
        <item x="16"/>
        <item x="10"/>
        <item x="26"/>
        <item x="23"/>
        <item x="7"/>
        <item t="default"/>
      </items>
    </pivotField>
    <pivotField showAll="0">
      <items count="31">
        <item x="13"/>
        <item x="22"/>
        <item x="19"/>
        <item x="12"/>
        <item x="18"/>
        <item x="14"/>
        <item x="24"/>
        <item x="11"/>
        <item x="26"/>
        <item x="3"/>
        <item x="1"/>
        <item x="7"/>
        <item x="20"/>
        <item x="28"/>
        <item x="8"/>
        <item x="9"/>
        <item x="5"/>
        <item x="23"/>
        <item x="25"/>
        <item x="16"/>
        <item x="10"/>
        <item x="21"/>
        <item x="2"/>
        <item x="6"/>
        <item x="27"/>
        <item x="17"/>
        <item x="29"/>
        <item x="15"/>
        <item x="4"/>
        <item x="0"/>
        <item t="default"/>
      </items>
    </pivotField>
    <pivotField showAll="0"/>
    <pivotField axis="axisRow" dataField="1" showAll="0">
      <items count="7">
        <item x="0"/>
        <item x="1"/>
        <item x="2"/>
        <item x="3"/>
        <item x="4"/>
        <item x="5"/>
        <item t="default"/>
      </items>
    </pivotField>
    <pivotField showAll="0"/>
    <pivotField numFmtId="14" showAll="0"/>
    <pivotField showAll="0"/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Anzahl von Gerätetyp" fld="5" subtotal="count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altText="Gerätetyp pro Standort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2" connectionId="4" xr16:uid="{20B4EC6D-F55E-1741-BF24-C2307F942325}" autoFormatId="16" applyNumberFormats="0" applyBorderFormats="0" applyFontFormats="0" applyPatternFormats="0" applyAlignmentFormats="0" applyWidthHeightFormats="0">
  <queryTableRefresh nextId="15">
    <queryTableFields count="13">
      <queryTableField id="1" name="Gerätenummer" tableColumnId="1"/>
      <queryTableField id="2" name="Mitarbeiter-ID" tableColumnId="2"/>
      <queryTableField id="3" name="Ausgabe am" tableColumnId="3"/>
      <queryTableField id="4" name="Rückgabe am" tableColumnId="4"/>
      <queryTableField id="5" name="Gerätenummer.1" tableColumnId="5"/>
      <queryTableField id="6" name="Gerätetyp" tableColumnId="6"/>
      <queryTableField id="7" name="Modell" tableColumnId="7"/>
      <queryTableField id="8" name="Kaufdatum" tableColumnId="8"/>
      <queryTableField id="9" name="Netto-Kaufpreis" tableColumnId="9"/>
      <queryTableField id="10" name="Standort" tableColumnId="10"/>
      <queryTableField id="12" name="Name" tableColumnId="12"/>
      <queryTableField id="13" name="Abteilung" tableColumnId="13"/>
      <queryTableField id="14" name="Standort.1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4E50CF68-63BA-8640-BED4-BE2DD7FE2A49}" autoFormatId="16" applyNumberFormats="0" applyBorderFormats="0" applyFontFormats="0" applyPatternFormats="0" applyAlignmentFormats="0" applyWidthHeightFormats="0">
  <queryTableRefresh nextId="5">
    <queryTableFields count="4">
      <queryTableField id="1" name="Gerätenummer" tableColumnId="1"/>
      <queryTableField id="2" name="Mitarbeiter-ID" tableColumnId="2"/>
      <queryTableField id="3" name="Ausgabe am" tableColumnId="3"/>
      <queryTableField id="4" name="Rückgabe am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" xr16:uid="{44FCC650-754B-2940-9763-1ECC6EA5000A}" autoFormatId="16" applyNumberFormats="0" applyBorderFormats="0" applyFontFormats="0" applyPatternFormats="0" applyAlignmentFormats="0" applyWidthHeightFormats="0">
  <queryTableRefresh nextId="7">
    <queryTableFields count="6">
      <queryTableField id="1" name="Gerätenummer" tableColumnId="1"/>
      <queryTableField id="2" name="Gerätetyp" tableColumnId="2"/>
      <queryTableField id="3" name="Modell" tableColumnId="3"/>
      <queryTableField id="4" name="Kaufdatum" tableColumnId="4"/>
      <queryTableField id="5" name="Netto-Kaufpreis" tableColumnId="5"/>
      <queryTableField id="6" name="Standort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5" xr16:uid="{256246B4-DCE1-414D-B2E2-896C1DFD8618}" autoFormatId="16" applyNumberFormats="0" applyBorderFormats="0" applyFontFormats="0" applyPatternFormats="0" applyAlignmentFormats="0" applyWidthHeightFormats="0">
  <queryTableRefresh nextId="5">
    <queryTableFields count="4">
      <queryTableField id="1" name="Mitarbeiter-ID" tableColumnId="1"/>
      <queryTableField id="2" name="Name" tableColumnId="2"/>
      <queryTableField id="3" name="Abteilung" tableColumnId="3"/>
      <queryTableField id="4" name="Standort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727429E-176F-A84B-A678-AAA2AD99471A}" name="Gesamt" displayName="Gesamt" ref="A1:M46" tableType="queryTable" totalsRowShown="0">
  <sortState xmlns:xlrd2="http://schemas.microsoft.com/office/spreadsheetml/2017/richdata2" ref="A2:M46">
    <sortCondition ref="A1:A46"/>
  </sortState>
  <tableColumns count="13">
    <tableColumn id="1" xr3:uid="{85961EFD-8215-B347-9B49-10996CF1D0A7}" uniqueName="1" name="Gerätenummer" queryTableFieldId="1" dataDxfId="10"/>
    <tableColumn id="2" xr3:uid="{7A35FE71-922D-E246-99E0-A77F8E1061CF}" uniqueName="2" name="Mitarbeiter-ID" queryTableFieldId="2"/>
    <tableColumn id="3" xr3:uid="{662F8CE7-0657-C94E-A122-72345F67F9B9}" uniqueName="3" name="Ausgabe am" queryTableFieldId="3" dataDxfId="9"/>
    <tableColumn id="4" xr3:uid="{C52B1B98-E9D7-114E-BEB3-BDEEC41D1E9D}" uniqueName="4" name="Rückgabe am" queryTableFieldId="4" dataDxfId="8"/>
    <tableColumn id="5" xr3:uid="{84166DB0-E436-BF40-B27E-A9A015F6F987}" uniqueName="5" name="Gerätenummer.1" queryTableFieldId="5" dataDxfId="7"/>
    <tableColumn id="6" xr3:uid="{E7F5F0C3-4327-7647-B77A-84F9BE0252B2}" uniqueName="6" name="Gerätetyp" queryTableFieldId="6" dataDxfId="6"/>
    <tableColumn id="7" xr3:uid="{97187537-400C-FF4E-AA07-861B40918710}" uniqueName="7" name="Modell" queryTableFieldId="7" dataDxfId="5"/>
    <tableColumn id="8" xr3:uid="{2CE7B96F-E2FE-9E4E-AD98-5052EBF33D3D}" uniqueName="8" name="Kaufdatum" queryTableFieldId="8" dataDxfId="4"/>
    <tableColumn id="9" xr3:uid="{C0DC71DD-7B4A-5C45-96AB-9225C40A9245}" uniqueName="9" name="Netto-Kaufpreis" queryTableFieldId="9"/>
    <tableColumn id="10" xr3:uid="{EE97FDF2-9BF0-9B46-AA9D-2493B47DB92C}" uniqueName="10" name="Standort" queryTableFieldId="10" dataDxfId="3"/>
    <tableColumn id="12" xr3:uid="{68546E6D-501D-024D-8FCC-6B3BDEA9A4D5}" uniqueName="12" name="Name" queryTableFieldId="12" dataDxfId="2"/>
    <tableColumn id="13" xr3:uid="{5E61E511-CC5D-2445-82CC-E1D6ADF0D63D}" uniqueName="13" name="Abteilung" queryTableFieldId="13" dataDxfId="1"/>
    <tableColumn id="14" xr3:uid="{0B66E408-6097-3645-A9CA-061DDC45C2CB}" uniqueName="14" name="Standort Mitarbeiter" queryTableFieldId="14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A7CCD3-9650-C14B-A157-05F293D9A472}" name="Ausleihen_1" displayName="Ausleihen_1" ref="A1:D46" tableType="queryTable" totalsRowShown="0">
  <autoFilter ref="A1:D46" xr:uid="{D6A7CCD3-9650-C14B-A157-05F293D9A472}"/>
  <tableColumns count="4">
    <tableColumn id="1" xr3:uid="{11DB2325-88D3-B64A-91F5-254A172DB7A9}" uniqueName="1" name="Gerätenummer" queryTableFieldId="1" dataDxfId="22"/>
    <tableColumn id="2" xr3:uid="{515D3FC6-DE45-624B-AD48-45C077FD14FE}" uniqueName="2" name="Mitarbeiter-ID" queryTableFieldId="2"/>
    <tableColumn id="3" xr3:uid="{67EEB8A6-817B-E042-A7AD-5F1C2DBD9603}" uniqueName="3" name="Ausgabe am" queryTableFieldId="3" dataDxfId="21"/>
    <tableColumn id="4" xr3:uid="{637A314C-290B-BB4B-A2CD-BD982DB9442D}" uniqueName="4" name="Rückgabe am" queryTableFieldId="4" dataDxfId="2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E27830-BDA9-4649-A17C-874AD14A124F}" name="Geraete" displayName="Geraete" ref="A1:F36" tableType="queryTable" totalsRowShown="0">
  <autoFilter ref="A1:F36" xr:uid="{63E27830-BDA9-4649-A17C-874AD14A124F}"/>
  <tableColumns count="6">
    <tableColumn id="1" xr3:uid="{4858CC29-2780-7B4B-9BD6-C94B8CBB5562}" uniqueName="1" name="Gerätenummer" queryTableFieldId="1" dataDxfId="16"/>
    <tableColumn id="2" xr3:uid="{E843FC0C-1925-3048-9174-DC8CBFEBBF97}" uniqueName="2" name="Gerätetyp" queryTableFieldId="2" dataDxfId="15"/>
    <tableColumn id="3" xr3:uid="{F8AAF07D-5909-3740-B713-185574914653}" uniqueName="3" name="Modell" queryTableFieldId="3" dataDxfId="14"/>
    <tableColumn id="4" xr3:uid="{E8D9B9C0-0925-8C41-8B57-5D576FB239EF}" uniqueName="4" name="Kaufdatum" queryTableFieldId="4" dataDxfId="13"/>
    <tableColumn id="5" xr3:uid="{E972A7C8-0F45-EC47-B47D-4AB8E11F132C}" uniqueName="5" name="Netto-Kaufpreis" queryTableFieldId="5" dataDxfId="12"/>
    <tableColumn id="6" xr3:uid="{F195AF0B-E4AB-264E-86C6-B247B9B2BA3C}" uniqueName="6" name="Standort" queryTableFieldId="6" dataDxfId="1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98C3708-F45C-794F-8DD1-48F96DB25280}" name="Mitarbeiter" displayName="Mitarbeiter" ref="A1:D13" tableType="queryTable" totalsRowShown="0">
  <autoFilter ref="A1:D13" xr:uid="{598C3708-F45C-794F-8DD1-48F96DB25280}"/>
  <tableColumns count="4">
    <tableColumn id="1" xr3:uid="{E596B9E6-6347-7D4D-A5AD-B264EE53D1D0}" uniqueName="1" name="Mitarbeiter-ID" queryTableFieldId="1"/>
    <tableColumn id="2" xr3:uid="{AF4D48DE-3C3B-144F-99F2-A0830377E973}" uniqueName="2" name="Name" queryTableFieldId="2" dataDxfId="19"/>
    <tableColumn id="3" xr3:uid="{6D10ED6A-7F13-A545-A051-5C8DDBC6F935}" uniqueName="3" name="Abteilung" queryTableFieldId="3" dataDxfId="18"/>
    <tableColumn id="4" xr3:uid="{0DEC5F6B-72BF-B449-891F-F3D726DCCE06}" uniqueName="4" name="Standort" queryTableFieldId="4" dataDxf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793D4-E4F0-A141-86A0-654F71246E31}">
  <dimension ref="A1:B6"/>
  <sheetViews>
    <sheetView workbookViewId="0">
      <selection activeCell="B1" sqref="B1"/>
    </sheetView>
  </sheetViews>
  <sheetFormatPr baseColWidth="10" defaultRowHeight="16" x14ac:dyDescent="0.2"/>
  <cols>
    <col min="1" max="1" width="21.33203125" bestFit="1" customWidth="1"/>
    <col min="2" max="2" width="24.6640625" bestFit="1" customWidth="1"/>
  </cols>
  <sheetData>
    <row r="1" spans="1:2" x14ac:dyDescent="0.2">
      <c r="A1" s="3" t="s">
        <v>3</v>
      </c>
      <c r="B1" t="s">
        <v>92</v>
      </c>
    </row>
    <row r="3" spans="1:2" x14ac:dyDescent="0.2">
      <c r="A3" s="3" t="s">
        <v>87</v>
      </c>
      <c r="B3" t="s">
        <v>91</v>
      </c>
    </row>
    <row r="4" spans="1:2" x14ac:dyDescent="0.2">
      <c r="A4" s="4" t="s">
        <v>89</v>
      </c>
      <c r="B4" s="2">
        <v>6463.0599999999995</v>
      </c>
    </row>
    <row r="5" spans="1:2" x14ac:dyDescent="0.2">
      <c r="A5" s="4" t="s">
        <v>90</v>
      </c>
      <c r="B5" s="2">
        <v>31658.499999999996</v>
      </c>
    </row>
    <row r="6" spans="1:2" x14ac:dyDescent="0.2">
      <c r="A6" s="4" t="s">
        <v>88</v>
      </c>
      <c r="B6" s="2">
        <v>38121.56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668A4-4C3A-F34C-B160-8E3D613037C5}">
  <dimension ref="A3:E11"/>
  <sheetViews>
    <sheetView workbookViewId="0">
      <selection activeCell="L23" sqref="L23"/>
    </sheetView>
  </sheetViews>
  <sheetFormatPr baseColWidth="10" defaultRowHeight="16" x14ac:dyDescent="0.2"/>
  <cols>
    <col min="1" max="1" width="21.33203125" bestFit="1" customWidth="1"/>
    <col min="2" max="2" width="22.5" bestFit="1" customWidth="1"/>
    <col min="3" max="4" width="8.83203125" bestFit="1" customWidth="1"/>
    <col min="5" max="5" width="15" bestFit="1" customWidth="1"/>
  </cols>
  <sheetData>
    <row r="3" spans="1:5" x14ac:dyDescent="0.2">
      <c r="A3" s="3" t="s">
        <v>94</v>
      </c>
      <c r="B3" s="3" t="s">
        <v>95</v>
      </c>
    </row>
    <row r="4" spans="1:5" x14ac:dyDescent="0.2">
      <c r="A4" s="3" t="s">
        <v>87</v>
      </c>
      <c r="B4" t="s">
        <v>35</v>
      </c>
      <c r="C4" t="s">
        <v>48</v>
      </c>
      <c r="D4" t="s">
        <v>38</v>
      </c>
      <c r="E4" t="s">
        <v>88</v>
      </c>
    </row>
    <row r="5" spans="1:5" x14ac:dyDescent="0.2">
      <c r="A5" s="4" t="s">
        <v>50</v>
      </c>
      <c r="B5" s="2">
        <v>7</v>
      </c>
      <c r="C5" s="2">
        <v>3</v>
      </c>
      <c r="D5" s="2">
        <v>2</v>
      </c>
      <c r="E5" s="2">
        <v>12</v>
      </c>
    </row>
    <row r="6" spans="1:5" x14ac:dyDescent="0.2">
      <c r="A6" s="4" t="s">
        <v>43</v>
      </c>
      <c r="B6" s="2">
        <v>9</v>
      </c>
      <c r="C6" s="2">
        <v>2</v>
      </c>
      <c r="D6" s="2">
        <v>1</v>
      </c>
      <c r="E6" s="2">
        <v>12</v>
      </c>
    </row>
    <row r="7" spans="1:5" x14ac:dyDescent="0.2">
      <c r="A7" s="4" t="s">
        <v>41</v>
      </c>
      <c r="B7" s="2"/>
      <c r="C7" s="2">
        <v>4</v>
      </c>
      <c r="D7" s="2">
        <v>6</v>
      </c>
      <c r="E7" s="2">
        <v>10</v>
      </c>
    </row>
    <row r="8" spans="1:5" x14ac:dyDescent="0.2">
      <c r="A8" s="4" t="s">
        <v>60</v>
      </c>
      <c r="B8" s="2">
        <v>2</v>
      </c>
      <c r="C8" s="2"/>
      <c r="D8" s="2">
        <v>2</v>
      </c>
      <c r="E8" s="2">
        <v>4</v>
      </c>
    </row>
    <row r="9" spans="1:5" x14ac:dyDescent="0.2">
      <c r="A9" s="4" t="s">
        <v>45</v>
      </c>
      <c r="B9" s="2"/>
      <c r="C9" s="2"/>
      <c r="D9" s="2">
        <v>4</v>
      </c>
      <c r="E9" s="2">
        <v>4</v>
      </c>
    </row>
    <row r="10" spans="1:5" x14ac:dyDescent="0.2">
      <c r="A10" s="4" t="s">
        <v>33</v>
      </c>
      <c r="B10" s="2"/>
      <c r="C10" s="2">
        <v>2</v>
      </c>
      <c r="D10" s="2">
        <v>1</v>
      </c>
      <c r="E10" s="2">
        <v>3</v>
      </c>
    </row>
    <row r="11" spans="1:5" x14ac:dyDescent="0.2">
      <c r="A11" s="4" t="s">
        <v>88</v>
      </c>
      <c r="B11" s="2">
        <v>18</v>
      </c>
      <c r="C11" s="2">
        <v>11</v>
      </c>
      <c r="D11" s="2">
        <v>16</v>
      </c>
      <c r="E11" s="2">
        <v>45</v>
      </c>
    </row>
  </sheetData>
  <pageMargins left="0.7" right="0.7" top="0.78740157499999996" bottom="0.78740157499999996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950C9-8BE2-D041-9396-135830D8B80D}">
  <dimension ref="A1:M46"/>
  <sheetViews>
    <sheetView tabSelected="1" zoomScale="110" zoomScaleNormal="199" workbookViewId="0"/>
  </sheetViews>
  <sheetFormatPr baseColWidth="10" defaultRowHeight="16" x14ac:dyDescent="0.2"/>
  <cols>
    <col min="1" max="1" width="16.33203125" bestFit="1" customWidth="1"/>
    <col min="2" max="2" width="15.33203125" bestFit="1" customWidth="1"/>
    <col min="3" max="3" width="13.83203125" bestFit="1" customWidth="1"/>
    <col min="4" max="4" width="14.83203125" bestFit="1" customWidth="1"/>
    <col min="5" max="5" width="17.83203125" bestFit="1" customWidth="1"/>
    <col min="6" max="6" width="11.83203125" bestFit="1" customWidth="1"/>
    <col min="7" max="7" width="14.5" bestFit="1" customWidth="1"/>
    <col min="8" max="8" width="12.83203125" bestFit="1" customWidth="1"/>
    <col min="9" max="9" width="17" bestFit="1" customWidth="1"/>
    <col min="10" max="10" width="10.6640625" bestFit="1" customWidth="1"/>
    <col min="11" max="11" width="31.5" bestFit="1" customWidth="1"/>
    <col min="12" max="12" width="11.5" bestFit="1" customWidth="1"/>
    <col min="13" max="13" width="20.33203125" bestFit="1" customWidth="1"/>
    <col min="14" max="14" width="12.1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86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68</v>
      </c>
      <c r="L1" t="s">
        <v>69</v>
      </c>
      <c r="M1" t="s">
        <v>93</v>
      </c>
    </row>
    <row r="2" spans="1:13" x14ac:dyDescent="0.2">
      <c r="A2" s="2" t="s">
        <v>22</v>
      </c>
      <c r="B2">
        <v>1003</v>
      </c>
      <c r="C2" s="1">
        <v>45827</v>
      </c>
      <c r="D2" s="1">
        <v>45908</v>
      </c>
      <c r="E2" s="2" t="s">
        <v>22</v>
      </c>
      <c r="F2" s="2" t="s">
        <v>41</v>
      </c>
      <c r="G2" s="2" t="s">
        <v>42</v>
      </c>
      <c r="H2" s="1">
        <v>45782</v>
      </c>
      <c r="I2">
        <v>1007.88</v>
      </c>
      <c r="J2" s="2" t="s">
        <v>38</v>
      </c>
      <c r="K2" s="2" t="s">
        <v>73</v>
      </c>
      <c r="L2" s="2" t="s">
        <v>74</v>
      </c>
      <c r="M2" s="2" t="s">
        <v>48</v>
      </c>
    </row>
    <row r="3" spans="1:13" x14ac:dyDescent="0.2">
      <c r="A3" s="2" t="s">
        <v>22</v>
      </c>
      <c r="B3">
        <v>1001</v>
      </c>
      <c r="C3" s="1">
        <v>45880</v>
      </c>
      <c r="D3" s="1">
        <v>45881</v>
      </c>
      <c r="E3" s="2" t="s">
        <v>22</v>
      </c>
      <c r="F3" s="2" t="s">
        <v>41</v>
      </c>
      <c r="G3" s="2" t="s">
        <v>42</v>
      </c>
      <c r="H3" s="1">
        <v>45782</v>
      </c>
      <c r="I3">
        <v>1007.88</v>
      </c>
      <c r="J3" s="2" t="s">
        <v>38</v>
      </c>
      <c r="K3" s="2" t="s">
        <v>70</v>
      </c>
      <c r="L3" s="2" t="s">
        <v>71</v>
      </c>
      <c r="M3" s="2" t="s">
        <v>35</v>
      </c>
    </row>
    <row r="4" spans="1:13" x14ac:dyDescent="0.2">
      <c r="A4" s="2" t="s">
        <v>9</v>
      </c>
      <c r="B4">
        <v>1009</v>
      </c>
      <c r="C4" s="1">
        <v>45389</v>
      </c>
      <c r="D4" s="1"/>
      <c r="E4" s="2" t="s">
        <v>9</v>
      </c>
      <c r="F4" s="2" t="s">
        <v>43</v>
      </c>
      <c r="G4" s="2" t="s">
        <v>44</v>
      </c>
      <c r="H4" s="1">
        <v>44503</v>
      </c>
      <c r="I4">
        <v>823.23</v>
      </c>
      <c r="J4" s="2" t="s">
        <v>35</v>
      </c>
      <c r="K4" s="2" t="s">
        <v>81</v>
      </c>
      <c r="L4" s="2" t="s">
        <v>82</v>
      </c>
      <c r="M4" s="2" t="s">
        <v>48</v>
      </c>
    </row>
    <row r="5" spans="1:13" x14ac:dyDescent="0.2">
      <c r="A5" s="2" t="s">
        <v>9</v>
      </c>
      <c r="B5">
        <v>1006</v>
      </c>
      <c r="C5" s="1">
        <v>45892</v>
      </c>
      <c r="D5" s="1">
        <v>45922</v>
      </c>
      <c r="E5" s="2" t="s">
        <v>9</v>
      </c>
      <c r="F5" s="2" t="s">
        <v>43</v>
      </c>
      <c r="G5" s="2" t="s">
        <v>44</v>
      </c>
      <c r="H5" s="1">
        <v>44503</v>
      </c>
      <c r="I5">
        <v>823.23</v>
      </c>
      <c r="J5" s="2" t="s">
        <v>35</v>
      </c>
      <c r="K5" s="2" t="s">
        <v>78</v>
      </c>
      <c r="L5" s="2" t="s">
        <v>76</v>
      </c>
      <c r="M5" s="2" t="s">
        <v>48</v>
      </c>
    </row>
    <row r="6" spans="1:13" x14ac:dyDescent="0.2">
      <c r="A6" s="2" t="s">
        <v>9</v>
      </c>
      <c r="B6">
        <v>1012</v>
      </c>
      <c r="C6" s="1">
        <v>45599</v>
      </c>
      <c r="D6" s="1"/>
      <c r="E6" s="2" t="s">
        <v>9</v>
      </c>
      <c r="F6" s="2" t="s">
        <v>43</v>
      </c>
      <c r="G6" s="2" t="s">
        <v>44</v>
      </c>
      <c r="H6" s="1">
        <v>44503</v>
      </c>
      <c r="I6">
        <v>823.23</v>
      </c>
      <c r="J6" s="2" t="s">
        <v>35</v>
      </c>
      <c r="K6" s="2" t="s">
        <v>85</v>
      </c>
      <c r="L6" s="2" t="s">
        <v>71</v>
      </c>
      <c r="M6" s="2" t="s">
        <v>38</v>
      </c>
    </row>
    <row r="7" spans="1:13" x14ac:dyDescent="0.2">
      <c r="A7" s="2" t="s">
        <v>9</v>
      </c>
      <c r="B7">
        <v>1010</v>
      </c>
      <c r="C7" s="1">
        <v>45899</v>
      </c>
      <c r="D7" s="1">
        <v>45925</v>
      </c>
      <c r="E7" s="2" t="s">
        <v>9</v>
      </c>
      <c r="F7" s="2" t="s">
        <v>43</v>
      </c>
      <c r="G7" s="2" t="s">
        <v>44</v>
      </c>
      <c r="H7" s="1">
        <v>44503</v>
      </c>
      <c r="I7">
        <v>823.23</v>
      </c>
      <c r="J7" s="2" t="s">
        <v>35</v>
      </c>
      <c r="K7" s="2" t="s">
        <v>83</v>
      </c>
      <c r="L7" s="2" t="s">
        <v>71</v>
      </c>
      <c r="M7" s="2" t="s">
        <v>48</v>
      </c>
    </row>
    <row r="8" spans="1:13" x14ac:dyDescent="0.2">
      <c r="A8" s="2" t="s">
        <v>8</v>
      </c>
      <c r="B8">
        <v>1012</v>
      </c>
      <c r="C8" s="1">
        <v>45808</v>
      </c>
      <c r="D8" s="1">
        <v>45818</v>
      </c>
      <c r="E8" s="2" t="s">
        <v>8</v>
      </c>
      <c r="F8" s="2" t="s">
        <v>45</v>
      </c>
      <c r="G8" s="2" t="s">
        <v>46</v>
      </c>
      <c r="H8" s="1">
        <v>45292</v>
      </c>
      <c r="I8">
        <v>1257.96</v>
      </c>
      <c r="J8" s="2" t="s">
        <v>38</v>
      </c>
      <c r="K8" s="2" t="s">
        <v>85</v>
      </c>
      <c r="L8" s="2" t="s">
        <v>71</v>
      </c>
      <c r="M8" s="2" t="s">
        <v>38</v>
      </c>
    </row>
    <row r="9" spans="1:13" x14ac:dyDescent="0.2">
      <c r="A9" s="2" t="s">
        <v>8</v>
      </c>
      <c r="B9">
        <v>1007</v>
      </c>
      <c r="C9" s="1">
        <v>45476</v>
      </c>
      <c r="D9" s="1"/>
      <c r="E9" s="2" t="s">
        <v>8</v>
      </c>
      <c r="F9" s="2" t="s">
        <v>45</v>
      </c>
      <c r="G9" s="2" t="s">
        <v>46</v>
      </c>
      <c r="H9" s="1">
        <v>45292</v>
      </c>
      <c r="I9">
        <v>1257.96</v>
      </c>
      <c r="J9" s="2" t="s">
        <v>38</v>
      </c>
      <c r="K9" s="2" t="s">
        <v>79</v>
      </c>
      <c r="L9" s="2" t="s">
        <v>71</v>
      </c>
      <c r="M9" s="2" t="s">
        <v>35</v>
      </c>
    </row>
    <row r="10" spans="1:13" x14ac:dyDescent="0.2">
      <c r="A10" s="2" t="s">
        <v>21</v>
      </c>
      <c r="B10">
        <v>1001</v>
      </c>
      <c r="C10" s="1">
        <v>45544</v>
      </c>
      <c r="D10" s="1">
        <v>45854</v>
      </c>
      <c r="E10" s="2" t="s">
        <v>21</v>
      </c>
      <c r="F10" s="2" t="s">
        <v>41</v>
      </c>
      <c r="G10" s="2" t="s">
        <v>47</v>
      </c>
      <c r="H10" s="1">
        <v>44360</v>
      </c>
      <c r="I10">
        <v>869.09</v>
      </c>
      <c r="J10" s="2" t="s">
        <v>48</v>
      </c>
      <c r="K10" s="2" t="s">
        <v>70</v>
      </c>
      <c r="L10" s="2" t="s">
        <v>71</v>
      </c>
      <c r="M10" s="2" t="s">
        <v>35</v>
      </c>
    </row>
    <row r="11" spans="1:13" x14ac:dyDescent="0.2">
      <c r="A11" s="2" t="s">
        <v>21</v>
      </c>
      <c r="B11">
        <v>1001</v>
      </c>
      <c r="C11" s="1">
        <v>45880</v>
      </c>
      <c r="D11" s="1"/>
      <c r="E11" s="2" t="s">
        <v>21</v>
      </c>
      <c r="F11" s="2" t="s">
        <v>41</v>
      </c>
      <c r="G11" s="2" t="s">
        <v>47</v>
      </c>
      <c r="H11" s="1">
        <v>44360</v>
      </c>
      <c r="I11">
        <v>869.09</v>
      </c>
      <c r="J11" s="2" t="s">
        <v>48</v>
      </c>
      <c r="K11" s="2" t="s">
        <v>70</v>
      </c>
      <c r="L11" s="2" t="s">
        <v>71</v>
      </c>
      <c r="M11" s="2" t="s">
        <v>35</v>
      </c>
    </row>
    <row r="12" spans="1:13" x14ac:dyDescent="0.2">
      <c r="A12" s="2" t="s">
        <v>10</v>
      </c>
      <c r="B12">
        <v>1011</v>
      </c>
      <c r="C12" s="1">
        <v>45850</v>
      </c>
      <c r="D12" s="1">
        <v>45853</v>
      </c>
      <c r="E12" s="2" t="s">
        <v>10</v>
      </c>
      <c r="F12" s="2" t="s">
        <v>41</v>
      </c>
      <c r="G12" s="2" t="s">
        <v>42</v>
      </c>
      <c r="H12" s="1">
        <v>45026</v>
      </c>
      <c r="I12">
        <v>1458.02</v>
      </c>
      <c r="J12" s="2" t="s">
        <v>38</v>
      </c>
      <c r="K12" s="2" t="s">
        <v>84</v>
      </c>
      <c r="L12" s="2" t="s">
        <v>71</v>
      </c>
      <c r="M12" s="2" t="s">
        <v>48</v>
      </c>
    </row>
    <row r="13" spans="1:13" x14ac:dyDescent="0.2">
      <c r="A13" s="2" t="s">
        <v>11</v>
      </c>
      <c r="B13">
        <v>1005</v>
      </c>
      <c r="C13" s="1">
        <v>45837</v>
      </c>
      <c r="D13" s="1">
        <v>45898</v>
      </c>
      <c r="E13" s="2" t="s">
        <v>11</v>
      </c>
      <c r="F13" s="2" t="s">
        <v>43</v>
      </c>
      <c r="G13" s="2" t="s">
        <v>53</v>
      </c>
      <c r="H13" s="1">
        <v>45909</v>
      </c>
      <c r="I13">
        <v>1417.1</v>
      </c>
      <c r="J13" s="2" t="s">
        <v>38</v>
      </c>
      <c r="K13" s="2" t="s">
        <v>77</v>
      </c>
      <c r="L13" s="2" t="s">
        <v>76</v>
      </c>
      <c r="M13" s="2" t="s">
        <v>35</v>
      </c>
    </row>
    <row r="14" spans="1:13" x14ac:dyDescent="0.2">
      <c r="A14" s="2" t="s">
        <v>13</v>
      </c>
      <c r="B14">
        <v>1012</v>
      </c>
      <c r="C14" s="1">
        <v>45419</v>
      </c>
      <c r="D14" s="1">
        <v>45470</v>
      </c>
      <c r="E14" s="2" t="s">
        <v>13</v>
      </c>
      <c r="F14" s="2" t="s">
        <v>43</v>
      </c>
      <c r="G14" s="2" t="s">
        <v>44</v>
      </c>
      <c r="H14" s="1">
        <v>44332</v>
      </c>
      <c r="I14">
        <v>1898.65</v>
      </c>
      <c r="J14" s="2" t="s">
        <v>48</v>
      </c>
      <c r="K14" s="2" t="s">
        <v>85</v>
      </c>
      <c r="L14" s="2" t="s">
        <v>71</v>
      </c>
      <c r="M14" s="2" t="s">
        <v>38</v>
      </c>
    </row>
    <row r="15" spans="1:13" x14ac:dyDescent="0.2">
      <c r="A15" s="2" t="s">
        <v>13</v>
      </c>
      <c r="B15">
        <v>1009</v>
      </c>
      <c r="C15" s="1">
        <v>45319</v>
      </c>
      <c r="D15" s="1">
        <v>45714</v>
      </c>
      <c r="E15" s="2" t="s">
        <v>13</v>
      </c>
      <c r="F15" s="2" t="s">
        <v>43</v>
      </c>
      <c r="G15" s="2" t="s">
        <v>44</v>
      </c>
      <c r="H15" s="1">
        <v>44332</v>
      </c>
      <c r="I15">
        <v>1898.65</v>
      </c>
      <c r="J15" s="2" t="s">
        <v>48</v>
      </c>
      <c r="K15" s="2" t="s">
        <v>81</v>
      </c>
      <c r="L15" s="2" t="s">
        <v>82</v>
      </c>
      <c r="M15" s="2" t="s">
        <v>48</v>
      </c>
    </row>
    <row r="16" spans="1:13" x14ac:dyDescent="0.2">
      <c r="A16" s="2" t="s">
        <v>25</v>
      </c>
      <c r="B16">
        <v>1001</v>
      </c>
      <c r="C16" s="1">
        <v>45622</v>
      </c>
      <c r="D16" s="1">
        <v>45719</v>
      </c>
      <c r="E16" s="2" t="s">
        <v>25</v>
      </c>
      <c r="F16" s="2" t="s">
        <v>41</v>
      </c>
      <c r="G16" s="2" t="s">
        <v>47</v>
      </c>
      <c r="H16" s="1">
        <v>44258</v>
      </c>
      <c r="I16">
        <v>1415.97</v>
      </c>
      <c r="J16" s="2" t="s">
        <v>48</v>
      </c>
      <c r="K16" s="2" t="s">
        <v>70</v>
      </c>
      <c r="L16" s="2" t="s">
        <v>71</v>
      </c>
      <c r="M16" s="2" t="s">
        <v>35</v>
      </c>
    </row>
    <row r="17" spans="1:13" x14ac:dyDescent="0.2">
      <c r="A17" s="2" t="s">
        <v>15</v>
      </c>
      <c r="B17">
        <v>1010</v>
      </c>
      <c r="C17" s="1">
        <v>45377</v>
      </c>
      <c r="D17" s="1">
        <v>45886</v>
      </c>
      <c r="E17" s="2" t="s">
        <v>15</v>
      </c>
      <c r="F17" s="2" t="s">
        <v>45</v>
      </c>
      <c r="G17" s="2" t="s">
        <v>55</v>
      </c>
      <c r="H17" s="1">
        <v>44824</v>
      </c>
      <c r="I17">
        <v>661.44</v>
      </c>
      <c r="J17" s="2" t="s">
        <v>38</v>
      </c>
      <c r="K17" s="2" t="s">
        <v>83</v>
      </c>
      <c r="L17" s="2" t="s">
        <v>71</v>
      </c>
      <c r="M17" s="2" t="s">
        <v>48</v>
      </c>
    </row>
    <row r="18" spans="1:13" x14ac:dyDescent="0.2">
      <c r="A18" s="2" t="s">
        <v>15</v>
      </c>
      <c r="B18">
        <v>1002</v>
      </c>
      <c r="C18" s="1">
        <v>45519</v>
      </c>
      <c r="D18" s="1"/>
      <c r="E18" s="2" t="s">
        <v>15</v>
      </c>
      <c r="F18" s="2" t="s">
        <v>45</v>
      </c>
      <c r="G18" s="2" t="s">
        <v>55</v>
      </c>
      <c r="H18" s="1">
        <v>44824</v>
      </c>
      <c r="I18">
        <v>661.44</v>
      </c>
      <c r="J18" s="2" t="s">
        <v>38</v>
      </c>
      <c r="K18" s="2" t="s">
        <v>72</v>
      </c>
      <c r="L18" s="2" t="s">
        <v>71</v>
      </c>
      <c r="M18" s="2" t="s">
        <v>35</v>
      </c>
    </row>
    <row r="19" spans="1:13" x14ac:dyDescent="0.2">
      <c r="A19" s="2" t="s">
        <v>7</v>
      </c>
      <c r="B19">
        <v>1003</v>
      </c>
      <c r="C19" s="1">
        <v>45330</v>
      </c>
      <c r="D19" s="1">
        <v>45817</v>
      </c>
      <c r="E19" s="2" t="s">
        <v>7</v>
      </c>
      <c r="F19" s="2" t="s">
        <v>43</v>
      </c>
      <c r="G19" s="2" t="s">
        <v>44</v>
      </c>
      <c r="H19" s="1">
        <v>45015</v>
      </c>
      <c r="I19">
        <v>1501.06</v>
      </c>
      <c r="J19" s="2" t="s">
        <v>35</v>
      </c>
      <c r="K19" s="2" t="s">
        <v>73</v>
      </c>
      <c r="L19" s="2" t="s">
        <v>74</v>
      </c>
      <c r="M19" s="2" t="s">
        <v>48</v>
      </c>
    </row>
    <row r="20" spans="1:13" x14ac:dyDescent="0.2">
      <c r="A20" s="2" t="s">
        <v>7</v>
      </c>
      <c r="B20">
        <v>1002</v>
      </c>
      <c r="C20" s="1">
        <v>45799</v>
      </c>
      <c r="D20" s="1">
        <v>45808</v>
      </c>
      <c r="E20" s="2" t="s">
        <v>7</v>
      </c>
      <c r="F20" s="2" t="s">
        <v>43</v>
      </c>
      <c r="G20" s="2" t="s">
        <v>44</v>
      </c>
      <c r="H20" s="1">
        <v>45015</v>
      </c>
      <c r="I20">
        <v>1501.06</v>
      </c>
      <c r="J20" s="2" t="s">
        <v>35</v>
      </c>
      <c r="K20" s="2" t="s">
        <v>72</v>
      </c>
      <c r="L20" s="2" t="s">
        <v>71</v>
      </c>
      <c r="M20" s="2" t="s">
        <v>35</v>
      </c>
    </row>
    <row r="21" spans="1:13" x14ac:dyDescent="0.2">
      <c r="A21" s="2" t="s">
        <v>7</v>
      </c>
      <c r="B21">
        <v>1010</v>
      </c>
      <c r="C21" s="1">
        <v>45866</v>
      </c>
      <c r="D21" s="1"/>
      <c r="E21" s="2" t="s">
        <v>7</v>
      </c>
      <c r="F21" s="2" t="s">
        <v>43</v>
      </c>
      <c r="G21" s="2" t="s">
        <v>44</v>
      </c>
      <c r="H21" s="1">
        <v>45015</v>
      </c>
      <c r="I21">
        <v>1501.06</v>
      </c>
      <c r="J21" s="2" t="s">
        <v>35</v>
      </c>
      <c r="K21" s="2" t="s">
        <v>83</v>
      </c>
      <c r="L21" s="2" t="s">
        <v>71</v>
      </c>
      <c r="M21" s="2" t="s">
        <v>48</v>
      </c>
    </row>
    <row r="22" spans="1:13" x14ac:dyDescent="0.2">
      <c r="A22" s="2" t="s">
        <v>7</v>
      </c>
      <c r="B22">
        <v>1007</v>
      </c>
      <c r="C22" s="1">
        <v>45795</v>
      </c>
      <c r="D22" s="1">
        <v>45846</v>
      </c>
      <c r="E22" s="2" t="s">
        <v>7</v>
      </c>
      <c r="F22" s="2" t="s">
        <v>43</v>
      </c>
      <c r="G22" s="2" t="s">
        <v>44</v>
      </c>
      <c r="H22" s="1">
        <v>45015</v>
      </c>
      <c r="I22">
        <v>1501.06</v>
      </c>
      <c r="J22" s="2" t="s">
        <v>35</v>
      </c>
      <c r="K22" s="2" t="s">
        <v>79</v>
      </c>
      <c r="L22" s="2" t="s">
        <v>71</v>
      </c>
      <c r="M22" s="2" t="s">
        <v>35</v>
      </c>
    </row>
    <row r="23" spans="1:13" x14ac:dyDescent="0.2">
      <c r="A23" s="2" t="s">
        <v>7</v>
      </c>
      <c r="B23">
        <v>1010</v>
      </c>
      <c r="C23" s="1">
        <v>45808</v>
      </c>
      <c r="D23" s="1">
        <v>45932</v>
      </c>
      <c r="E23" s="2" t="s">
        <v>7</v>
      </c>
      <c r="F23" s="2" t="s">
        <v>43</v>
      </c>
      <c r="G23" s="2" t="s">
        <v>44</v>
      </c>
      <c r="H23" s="1">
        <v>45015</v>
      </c>
      <c r="I23">
        <v>1501.06</v>
      </c>
      <c r="J23" s="2" t="s">
        <v>35</v>
      </c>
      <c r="K23" s="2" t="s">
        <v>83</v>
      </c>
      <c r="L23" s="2" t="s">
        <v>71</v>
      </c>
      <c r="M23" s="2" t="s">
        <v>48</v>
      </c>
    </row>
    <row r="24" spans="1:13" x14ac:dyDescent="0.2">
      <c r="A24" s="2" t="s">
        <v>17</v>
      </c>
      <c r="B24">
        <v>1011</v>
      </c>
      <c r="C24" s="1">
        <v>45568</v>
      </c>
      <c r="D24" s="1">
        <v>45623</v>
      </c>
      <c r="E24" s="2" t="s">
        <v>17</v>
      </c>
      <c r="F24" s="2" t="s">
        <v>33</v>
      </c>
      <c r="G24" s="2" t="s">
        <v>40</v>
      </c>
      <c r="H24" s="1">
        <v>44839</v>
      </c>
      <c r="I24">
        <v>1688.07</v>
      </c>
      <c r="J24" s="2" t="s">
        <v>38</v>
      </c>
      <c r="K24" s="2" t="s">
        <v>84</v>
      </c>
      <c r="L24" s="2" t="s">
        <v>71</v>
      </c>
      <c r="M24" s="2" t="s">
        <v>48</v>
      </c>
    </row>
    <row r="25" spans="1:13" x14ac:dyDescent="0.2">
      <c r="A25" s="2" t="s">
        <v>5</v>
      </c>
      <c r="B25">
        <v>1008</v>
      </c>
      <c r="C25" s="1">
        <v>45930</v>
      </c>
      <c r="D25" s="1">
        <v>45935</v>
      </c>
      <c r="E25" s="2" t="s">
        <v>5</v>
      </c>
      <c r="F25" s="2" t="s">
        <v>60</v>
      </c>
      <c r="G25" s="2" t="s">
        <v>61</v>
      </c>
      <c r="H25" s="1">
        <v>44979</v>
      </c>
      <c r="I25">
        <v>1134.1600000000001</v>
      </c>
      <c r="J25" s="2" t="s">
        <v>38</v>
      </c>
      <c r="K25" s="2" t="s">
        <v>80</v>
      </c>
      <c r="L25" s="2" t="s">
        <v>71</v>
      </c>
      <c r="M25" s="2" t="s">
        <v>48</v>
      </c>
    </row>
    <row r="26" spans="1:13" x14ac:dyDescent="0.2">
      <c r="A26" s="2" t="s">
        <v>16</v>
      </c>
      <c r="B26">
        <v>1002</v>
      </c>
      <c r="C26" s="1">
        <v>45899</v>
      </c>
      <c r="D26" s="1">
        <v>45930</v>
      </c>
      <c r="E26" s="2" t="s">
        <v>16</v>
      </c>
      <c r="F26" s="2" t="s">
        <v>33</v>
      </c>
      <c r="G26" s="2" t="s">
        <v>40</v>
      </c>
      <c r="H26" s="1">
        <v>45524</v>
      </c>
      <c r="I26">
        <v>1591.98</v>
      </c>
      <c r="J26" s="2" t="s">
        <v>48</v>
      </c>
      <c r="K26" s="2" t="s">
        <v>72</v>
      </c>
      <c r="L26" s="2" t="s">
        <v>71</v>
      </c>
      <c r="M26" s="2" t="s">
        <v>35</v>
      </c>
    </row>
    <row r="27" spans="1:13" x14ac:dyDescent="0.2">
      <c r="A27" s="2" t="s">
        <v>16</v>
      </c>
      <c r="B27">
        <v>1002</v>
      </c>
      <c r="C27" s="1">
        <v>45493</v>
      </c>
      <c r="D27" s="1">
        <v>45663</v>
      </c>
      <c r="E27" s="2" t="s">
        <v>16</v>
      </c>
      <c r="F27" s="2" t="s">
        <v>33</v>
      </c>
      <c r="G27" s="2" t="s">
        <v>40</v>
      </c>
      <c r="H27" s="1">
        <v>45524</v>
      </c>
      <c r="I27">
        <v>1591.98</v>
      </c>
      <c r="J27" s="2" t="s">
        <v>48</v>
      </c>
      <c r="K27" s="2" t="s">
        <v>72</v>
      </c>
      <c r="L27" s="2" t="s">
        <v>71</v>
      </c>
      <c r="M27" s="2" t="s">
        <v>35</v>
      </c>
    </row>
    <row r="28" spans="1:13" x14ac:dyDescent="0.2">
      <c r="A28" s="2" t="s">
        <v>6</v>
      </c>
      <c r="B28">
        <v>1008</v>
      </c>
      <c r="C28" s="1">
        <v>45375</v>
      </c>
      <c r="D28" s="1"/>
      <c r="E28" s="2" t="s">
        <v>6</v>
      </c>
      <c r="F28" s="2" t="s">
        <v>60</v>
      </c>
      <c r="G28" s="2" t="s">
        <v>63</v>
      </c>
      <c r="H28" s="1">
        <v>44621</v>
      </c>
      <c r="I28">
        <v>750.91</v>
      </c>
      <c r="J28" s="2" t="s">
        <v>35</v>
      </c>
      <c r="K28" s="2" t="s">
        <v>80</v>
      </c>
      <c r="L28" s="2" t="s">
        <v>71</v>
      </c>
      <c r="M28" s="2" t="s">
        <v>48</v>
      </c>
    </row>
    <row r="29" spans="1:13" x14ac:dyDescent="0.2">
      <c r="A29" s="2" t="s">
        <v>6</v>
      </c>
      <c r="B29">
        <v>1005</v>
      </c>
      <c r="C29" s="1">
        <v>45743</v>
      </c>
      <c r="D29" s="1">
        <v>45868</v>
      </c>
      <c r="E29" s="2" t="s">
        <v>6</v>
      </c>
      <c r="F29" s="2" t="s">
        <v>60</v>
      </c>
      <c r="G29" s="2" t="s">
        <v>63</v>
      </c>
      <c r="H29" s="1">
        <v>44621</v>
      </c>
      <c r="I29">
        <v>750.91</v>
      </c>
      <c r="J29" s="2" t="s">
        <v>35</v>
      </c>
      <c r="K29" s="2" t="s">
        <v>77</v>
      </c>
      <c r="L29" s="2" t="s">
        <v>76</v>
      </c>
      <c r="M29" s="2" t="s">
        <v>35</v>
      </c>
    </row>
    <row r="30" spans="1:13" x14ac:dyDescent="0.2">
      <c r="A30" s="2" t="s">
        <v>23</v>
      </c>
      <c r="B30">
        <v>1005</v>
      </c>
      <c r="C30" s="1">
        <v>45675</v>
      </c>
      <c r="D30" s="1"/>
      <c r="E30" s="2" t="s">
        <v>23</v>
      </c>
      <c r="F30" s="2" t="s">
        <v>50</v>
      </c>
      <c r="G30" s="2" t="s">
        <v>51</v>
      </c>
      <c r="H30" s="1">
        <v>45266</v>
      </c>
      <c r="I30">
        <v>545.46</v>
      </c>
      <c r="J30" s="2" t="s">
        <v>35</v>
      </c>
      <c r="K30" s="2" t="s">
        <v>77</v>
      </c>
      <c r="L30" s="2" t="s">
        <v>76</v>
      </c>
      <c r="M30" s="2" t="s">
        <v>35</v>
      </c>
    </row>
    <row r="31" spans="1:13" x14ac:dyDescent="0.2">
      <c r="A31" s="2" t="s">
        <v>19</v>
      </c>
      <c r="B31">
        <v>1004</v>
      </c>
      <c r="C31" s="1">
        <v>45403</v>
      </c>
      <c r="D31" s="1">
        <v>45839</v>
      </c>
      <c r="E31" s="2" t="s">
        <v>19</v>
      </c>
      <c r="F31" s="2" t="s">
        <v>60</v>
      </c>
      <c r="G31" s="2" t="s">
        <v>61</v>
      </c>
      <c r="H31" s="1">
        <v>44766</v>
      </c>
      <c r="I31">
        <v>501.64</v>
      </c>
      <c r="J31" s="2" t="s">
        <v>38</v>
      </c>
      <c r="K31" s="2" t="s">
        <v>75</v>
      </c>
      <c r="L31" s="2" t="s">
        <v>76</v>
      </c>
      <c r="M31" s="2" t="s">
        <v>48</v>
      </c>
    </row>
    <row r="32" spans="1:13" x14ac:dyDescent="0.2">
      <c r="A32" s="2" t="s">
        <v>12</v>
      </c>
      <c r="B32">
        <v>1004</v>
      </c>
      <c r="C32" s="1">
        <v>45523</v>
      </c>
      <c r="D32" s="1"/>
      <c r="E32" s="2" t="s">
        <v>12</v>
      </c>
      <c r="F32" s="2" t="s">
        <v>50</v>
      </c>
      <c r="G32" s="2" t="s">
        <v>51</v>
      </c>
      <c r="H32" s="1">
        <v>44945</v>
      </c>
      <c r="I32">
        <v>1246.58</v>
      </c>
      <c r="J32" s="2" t="s">
        <v>48</v>
      </c>
      <c r="K32" s="2" t="s">
        <v>75</v>
      </c>
      <c r="L32" s="2" t="s">
        <v>76</v>
      </c>
      <c r="M32" s="2" t="s">
        <v>48</v>
      </c>
    </row>
    <row r="33" spans="1:13" x14ac:dyDescent="0.2">
      <c r="A33" s="2" t="s">
        <v>12</v>
      </c>
      <c r="B33">
        <v>1006</v>
      </c>
      <c r="C33" s="1">
        <v>45630</v>
      </c>
      <c r="D33" s="1">
        <v>45732</v>
      </c>
      <c r="E33" s="2" t="s">
        <v>12</v>
      </c>
      <c r="F33" s="2" t="s">
        <v>50</v>
      </c>
      <c r="G33" s="2" t="s">
        <v>51</v>
      </c>
      <c r="H33" s="1">
        <v>44945</v>
      </c>
      <c r="I33">
        <v>1246.58</v>
      </c>
      <c r="J33" s="2" t="s">
        <v>48</v>
      </c>
      <c r="K33" s="2" t="s">
        <v>78</v>
      </c>
      <c r="L33" s="2" t="s">
        <v>76</v>
      </c>
      <c r="M33" s="2" t="s">
        <v>48</v>
      </c>
    </row>
    <row r="34" spans="1:13" x14ac:dyDescent="0.2">
      <c r="A34" s="2" t="s">
        <v>12</v>
      </c>
      <c r="B34">
        <v>1003</v>
      </c>
      <c r="C34" s="1">
        <v>45595</v>
      </c>
      <c r="D34" s="1">
        <v>45630</v>
      </c>
      <c r="E34" s="2" t="s">
        <v>12</v>
      </c>
      <c r="F34" s="2" t="s">
        <v>50</v>
      </c>
      <c r="G34" s="2" t="s">
        <v>51</v>
      </c>
      <c r="H34" s="1">
        <v>44945</v>
      </c>
      <c r="I34">
        <v>1246.58</v>
      </c>
      <c r="J34" s="2" t="s">
        <v>48</v>
      </c>
      <c r="K34" s="2" t="s">
        <v>73</v>
      </c>
      <c r="L34" s="2" t="s">
        <v>74</v>
      </c>
      <c r="M34" s="2" t="s">
        <v>48</v>
      </c>
    </row>
    <row r="35" spans="1:13" x14ac:dyDescent="0.2">
      <c r="A35" s="2" t="s">
        <v>14</v>
      </c>
      <c r="B35">
        <v>1002</v>
      </c>
      <c r="C35" s="1">
        <v>45921</v>
      </c>
      <c r="D35" s="1">
        <v>45934</v>
      </c>
      <c r="E35" s="2" t="s">
        <v>14</v>
      </c>
      <c r="F35" s="2" t="s">
        <v>41</v>
      </c>
      <c r="G35" s="2" t="s">
        <v>47</v>
      </c>
      <c r="H35" s="1">
        <v>44337</v>
      </c>
      <c r="I35">
        <v>1553.15</v>
      </c>
      <c r="J35" s="2" t="s">
        <v>48</v>
      </c>
      <c r="K35" s="2" t="s">
        <v>72</v>
      </c>
      <c r="L35" s="2" t="s">
        <v>71</v>
      </c>
      <c r="M35" s="2" t="s">
        <v>35</v>
      </c>
    </row>
    <row r="36" spans="1:13" x14ac:dyDescent="0.2">
      <c r="A36" s="2" t="s">
        <v>20</v>
      </c>
      <c r="B36">
        <v>1012</v>
      </c>
      <c r="C36" s="1">
        <v>45792</v>
      </c>
      <c r="D36" s="1">
        <v>45905</v>
      </c>
      <c r="E36" s="2" t="s">
        <v>20</v>
      </c>
      <c r="F36" s="2" t="s">
        <v>50</v>
      </c>
      <c r="G36" s="2" t="s">
        <v>51</v>
      </c>
      <c r="H36" s="1">
        <v>44647</v>
      </c>
      <c r="I36">
        <v>1629.76</v>
      </c>
      <c r="J36" s="2" t="s">
        <v>38</v>
      </c>
      <c r="K36" s="2" t="s">
        <v>85</v>
      </c>
      <c r="L36" s="2" t="s">
        <v>71</v>
      </c>
      <c r="M36" s="2" t="s">
        <v>38</v>
      </c>
    </row>
    <row r="37" spans="1:13" x14ac:dyDescent="0.2">
      <c r="A37" s="2" t="s">
        <v>20</v>
      </c>
      <c r="B37">
        <v>1005</v>
      </c>
      <c r="C37" s="1">
        <v>45261</v>
      </c>
      <c r="D37" s="1">
        <v>45559</v>
      </c>
      <c r="E37" s="2" t="s">
        <v>20</v>
      </c>
      <c r="F37" s="2" t="s">
        <v>50</v>
      </c>
      <c r="G37" s="2" t="s">
        <v>51</v>
      </c>
      <c r="H37" s="1">
        <v>44647</v>
      </c>
      <c r="I37">
        <v>1629.76</v>
      </c>
      <c r="J37" s="2" t="s">
        <v>38</v>
      </c>
      <c r="K37" s="2" t="s">
        <v>77</v>
      </c>
      <c r="L37" s="2" t="s">
        <v>76</v>
      </c>
      <c r="M37" s="2" t="s">
        <v>35</v>
      </c>
    </row>
    <row r="38" spans="1:13" x14ac:dyDescent="0.2">
      <c r="A38" s="2" t="s">
        <v>18</v>
      </c>
      <c r="B38">
        <v>1004</v>
      </c>
      <c r="C38" s="1">
        <v>45320</v>
      </c>
      <c r="D38" s="1"/>
      <c r="E38" s="2" t="s">
        <v>18</v>
      </c>
      <c r="F38" s="2" t="s">
        <v>41</v>
      </c>
      <c r="G38" s="2" t="s">
        <v>65</v>
      </c>
      <c r="H38" s="1">
        <v>45775</v>
      </c>
      <c r="I38">
        <v>1095.6199999999999</v>
      </c>
      <c r="J38" s="2" t="s">
        <v>38</v>
      </c>
      <c r="K38" s="2" t="s">
        <v>75</v>
      </c>
      <c r="L38" s="2" t="s">
        <v>76</v>
      </c>
      <c r="M38" s="2" t="s">
        <v>48</v>
      </c>
    </row>
    <row r="39" spans="1:13" x14ac:dyDescent="0.2">
      <c r="A39" s="2" t="s">
        <v>18</v>
      </c>
      <c r="B39">
        <v>1004</v>
      </c>
      <c r="C39" s="1">
        <v>45336</v>
      </c>
      <c r="D39" s="1"/>
      <c r="E39" s="2" t="s">
        <v>18</v>
      </c>
      <c r="F39" s="2" t="s">
        <v>41</v>
      </c>
      <c r="G39" s="2" t="s">
        <v>65</v>
      </c>
      <c r="H39" s="1">
        <v>45775</v>
      </c>
      <c r="I39">
        <v>1095.6199999999999</v>
      </c>
      <c r="J39" s="2" t="s">
        <v>38</v>
      </c>
      <c r="K39" s="2" t="s">
        <v>75</v>
      </c>
      <c r="L39" s="2" t="s">
        <v>76</v>
      </c>
      <c r="M39" s="2" t="s">
        <v>48</v>
      </c>
    </row>
    <row r="40" spans="1:13" x14ac:dyDescent="0.2">
      <c r="A40" s="2" t="s">
        <v>24</v>
      </c>
      <c r="B40">
        <v>1003</v>
      </c>
      <c r="C40" s="1">
        <v>45508</v>
      </c>
      <c r="D40" s="1">
        <v>45871</v>
      </c>
      <c r="E40" s="2" t="s">
        <v>24</v>
      </c>
      <c r="F40" s="2" t="s">
        <v>41</v>
      </c>
      <c r="G40" s="2" t="s">
        <v>47</v>
      </c>
      <c r="H40" s="1">
        <v>44876</v>
      </c>
      <c r="I40">
        <v>1801.36</v>
      </c>
      <c r="J40" s="2" t="s">
        <v>38</v>
      </c>
      <c r="K40" s="2" t="s">
        <v>73</v>
      </c>
      <c r="L40" s="2" t="s">
        <v>74</v>
      </c>
      <c r="M40" s="2" t="s">
        <v>48</v>
      </c>
    </row>
    <row r="41" spans="1:13" x14ac:dyDescent="0.2">
      <c r="A41" s="2" t="s">
        <v>26</v>
      </c>
      <c r="B41">
        <v>1009</v>
      </c>
      <c r="C41" s="1">
        <v>45740</v>
      </c>
      <c r="D41" s="1">
        <v>45784</v>
      </c>
      <c r="E41" s="2" t="s">
        <v>26</v>
      </c>
      <c r="F41" s="2" t="s">
        <v>50</v>
      </c>
      <c r="G41" s="2" t="s">
        <v>66</v>
      </c>
      <c r="H41" s="1">
        <v>44623</v>
      </c>
      <c r="I41">
        <v>1212.29</v>
      </c>
      <c r="J41" s="2" t="s">
        <v>35</v>
      </c>
      <c r="K41" s="2" t="s">
        <v>81</v>
      </c>
      <c r="L41" s="2" t="s">
        <v>82</v>
      </c>
      <c r="M41" s="2" t="s">
        <v>48</v>
      </c>
    </row>
    <row r="42" spans="1:13" x14ac:dyDescent="0.2">
      <c r="A42" s="2" t="s">
        <v>26</v>
      </c>
      <c r="B42">
        <v>1002</v>
      </c>
      <c r="C42" s="1">
        <v>45741</v>
      </c>
      <c r="D42" s="1"/>
      <c r="E42" s="2" t="s">
        <v>26</v>
      </c>
      <c r="F42" s="2" t="s">
        <v>50</v>
      </c>
      <c r="G42" s="2" t="s">
        <v>66</v>
      </c>
      <c r="H42" s="1">
        <v>44623</v>
      </c>
      <c r="I42">
        <v>1212.29</v>
      </c>
      <c r="J42" s="2" t="s">
        <v>35</v>
      </c>
      <c r="K42" s="2" t="s">
        <v>72</v>
      </c>
      <c r="L42" s="2" t="s">
        <v>71</v>
      </c>
      <c r="M42" s="2" t="s">
        <v>35</v>
      </c>
    </row>
    <row r="43" spans="1:13" x14ac:dyDescent="0.2">
      <c r="A43" s="2" t="s">
        <v>4</v>
      </c>
      <c r="B43">
        <v>1009</v>
      </c>
      <c r="C43" s="1">
        <v>45421</v>
      </c>
      <c r="D43" s="1"/>
      <c r="E43" s="2" t="s">
        <v>4</v>
      </c>
      <c r="F43" s="2" t="s">
        <v>50</v>
      </c>
      <c r="G43" s="2" t="s">
        <v>66</v>
      </c>
      <c r="H43" s="1">
        <v>45294</v>
      </c>
      <c r="I43">
        <v>644.54</v>
      </c>
      <c r="J43" s="2" t="s">
        <v>35</v>
      </c>
      <c r="K43" s="2" t="s">
        <v>81</v>
      </c>
      <c r="L43" s="2" t="s">
        <v>82</v>
      </c>
      <c r="M43" s="2" t="s">
        <v>48</v>
      </c>
    </row>
    <row r="44" spans="1:13" x14ac:dyDescent="0.2">
      <c r="A44" s="2" t="s">
        <v>4</v>
      </c>
      <c r="B44">
        <v>1001</v>
      </c>
      <c r="C44" s="1">
        <v>45297</v>
      </c>
      <c r="D44" s="1"/>
      <c r="E44" s="2" t="s">
        <v>4</v>
      </c>
      <c r="F44" s="2" t="s">
        <v>50</v>
      </c>
      <c r="G44" s="2" t="s">
        <v>66</v>
      </c>
      <c r="H44" s="1">
        <v>45294</v>
      </c>
      <c r="I44">
        <v>644.54</v>
      </c>
      <c r="J44" s="2" t="s">
        <v>35</v>
      </c>
      <c r="K44" s="2" t="s">
        <v>70</v>
      </c>
      <c r="L44" s="2" t="s">
        <v>71</v>
      </c>
      <c r="M44" s="2" t="s">
        <v>35</v>
      </c>
    </row>
    <row r="45" spans="1:13" x14ac:dyDescent="0.2">
      <c r="A45" s="2" t="s">
        <v>4</v>
      </c>
      <c r="B45">
        <v>1003</v>
      </c>
      <c r="C45" s="1">
        <v>45417</v>
      </c>
      <c r="D45" s="1"/>
      <c r="E45" s="2" t="s">
        <v>4</v>
      </c>
      <c r="F45" s="2" t="s">
        <v>50</v>
      </c>
      <c r="G45" s="2" t="s">
        <v>66</v>
      </c>
      <c r="H45" s="1">
        <v>45294</v>
      </c>
      <c r="I45">
        <v>644.54</v>
      </c>
      <c r="J45" s="2" t="s">
        <v>35</v>
      </c>
      <c r="K45" s="2" t="s">
        <v>73</v>
      </c>
      <c r="L45" s="2" t="s">
        <v>74</v>
      </c>
      <c r="M45" s="2" t="s">
        <v>48</v>
      </c>
    </row>
    <row r="46" spans="1:13" x14ac:dyDescent="0.2">
      <c r="A46" s="2" t="s">
        <v>4</v>
      </c>
      <c r="B46">
        <v>1001</v>
      </c>
      <c r="C46" s="1">
        <v>45641</v>
      </c>
      <c r="D46" s="1"/>
      <c r="E46" s="2" t="s">
        <v>4</v>
      </c>
      <c r="F46" s="2" t="s">
        <v>50</v>
      </c>
      <c r="G46" s="2" t="s">
        <v>66</v>
      </c>
      <c r="H46" s="1">
        <v>45294</v>
      </c>
      <c r="I46">
        <v>644.54</v>
      </c>
      <c r="J46" s="2" t="s">
        <v>35</v>
      </c>
      <c r="K46" s="2" t="s">
        <v>70</v>
      </c>
      <c r="L46" s="2" t="s">
        <v>71</v>
      </c>
      <c r="M46" s="2" t="s">
        <v>35</v>
      </c>
    </row>
  </sheetData>
  <phoneticPr fontId="1" type="noConversion"/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E0316-9168-7440-B254-1A1A3ECEEFC8}">
  <dimension ref="A1:D46"/>
  <sheetViews>
    <sheetView workbookViewId="0">
      <selection activeCell="D1" sqref="D1"/>
    </sheetView>
  </sheetViews>
  <sheetFormatPr baseColWidth="10" defaultRowHeight="16" x14ac:dyDescent="0.2"/>
  <cols>
    <col min="1" max="1" width="16.33203125" bestFit="1" customWidth="1"/>
    <col min="2" max="2" width="15.33203125" bestFit="1" customWidth="1"/>
    <col min="3" max="3" width="13.83203125" bestFit="1" customWidth="1"/>
    <col min="4" max="4" width="14.8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2" t="s">
        <v>4</v>
      </c>
      <c r="B2">
        <v>1009</v>
      </c>
      <c r="C2" s="1">
        <v>45421</v>
      </c>
      <c r="D2" s="1"/>
    </row>
    <row r="3" spans="1:4" x14ac:dyDescent="0.2">
      <c r="A3" s="2" t="s">
        <v>5</v>
      </c>
      <c r="B3">
        <v>1008</v>
      </c>
      <c r="C3" s="1">
        <v>45930</v>
      </c>
      <c r="D3" s="1">
        <v>45935</v>
      </c>
    </row>
    <row r="4" spans="1:4" x14ac:dyDescent="0.2">
      <c r="A4" s="2" t="s">
        <v>6</v>
      </c>
      <c r="B4">
        <v>1005</v>
      </c>
      <c r="C4" s="1">
        <v>45743</v>
      </c>
      <c r="D4" s="1">
        <v>45868</v>
      </c>
    </row>
    <row r="5" spans="1:4" x14ac:dyDescent="0.2">
      <c r="A5" s="2" t="s">
        <v>7</v>
      </c>
      <c r="B5">
        <v>1010</v>
      </c>
      <c r="C5" s="1">
        <v>45866</v>
      </c>
      <c r="D5" s="1"/>
    </row>
    <row r="6" spans="1:4" x14ac:dyDescent="0.2">
      <c r="A6" s="2" t="s">
        <v>8</v>
      </c>
      <c r="B6">
        <v>1012</v>
      </c>
      <c r="C6" s="1">
        <v>45808</v>
      </c>
      <c r="D6" s="1">
        <v>45818</v>
      </c>
    </row>
    <row r="7" spans="1:4" x14ac:dyDescent="0.2">
      <c r="A7" s="2" t="s">
        <v>9</v>
      </c>
      <c r="B7">
        <v>1009</v>
      </c>
      <c r="C7" s="1">
        <v>45389</v>
      </c>
      <c r="D7" s="1"/>
    </row>
    <row r="8" spans="1:4" x14ac:dyDescent="0.2">
      <c r="A8" s="2" t="s">
        <v>10</v>
      </c>
      <c r="B8">
        <v>1011</v>
      </c>
      <c r="C8" s="1">
        <v>45850</v>
      </c>
      <c r="D8" s="1">
        <v>45853</v>
      </c>
    </row>
    <row r="9" spans="1:4" x14ac:dyDescent="0.2">
      <c r="A9" s="2" t="s">
        <v>11</v>
      </c>
      <c r="B9">
        <v>1005</v>
      </c>
      <c r="C9" s="1">
        <v>45837</v>
      </c>
      <c r="D9" s="1">
        <v>45898</v>
      </c>
    </row>
    <row r="10" spans="1:4" x14ac:dyDescent="0.2">
      <c r="A10" s="2" t="s">
        <v>12</v>
      </c>
      <c r="B10">
        <v>1004</v>
      </c>
      <c r="C10" s="1">
        <v>45523</v>
      </c>
      <c r="D10" s="1"/>
    </row>
    <row r="11" spans="1:4" x14ac:dyDescent="0.2">
      <c r="A11" s="2" t="s">
        <v>13</v>
      </c>
      <c r="B11">
        <v>1012</v>
      </c>
      <c r="C11" s="1">
        <v>45419</v>
      </c>
      <c r="D11" s="1">
        <v>45470</v>
      </c>
    </row>
    <row r="12" spans="1:4" x14ac:dyDescent="0.2">
      <c r="A12" s="2" t="s">
        <v>6</v>
      </c>
      <c r="B12">
        <v>1008</v>
      </c>
      <c r="C12" s="1">
        <v>45375</v>
      </c>
      <c r="D12" s="1"/>
    </row>
    <row r="13" spans="1:4" x14ac:dyDescent="0.2">
      <c r="A13" s="2" t="s">
        <v>14</v>
      </c>
      <c r="B13">
        <v>1002</v>
      </c>
      <c r="C13" s="1">
        <v>45921</v>
      </c>
      <c r="D13" s="1">
        <v>45934</v>
      </c>
    </row>
    <row r="14" spans="1:4" x14ac:dyDescent="0.2">
      <c r="A14" s="2" t="s">
        <v>9</v>
      </c>
      <c r="B14">
        <v>1006</v>
      </c>
      <c r="C14" s="1">
        <v>45892</v>
      </c>
      <c r="D14" s="1">
        <v>45922</v>
      </c>
    </row>
    <row r="15" spans="1:4" x14ac:dyDescent="0.2">
      <c r="A15" s="2" t="s">
        <v>15</v>
      </c>
      <c r="B15">
        <v>1010</v>
      </c>
      <c r="C15" s="1">
        <v>45377</v>
      </c>
      <c r="D15" s="1">
        <v>45886</v>
      </c>
    </row>
    <row r="16" spans="1:4" x14ac:dyDescent="0.2">
      <c r="A16" s="2" t="s">
        <v>9</v>
      </c>
      <c r="B16">
        <v>1012</v>
      </c>
      <c r="C16" s="1">
        <v>45599</v>
      </c>
      <c r="D16" s="1"/>
    </row>
    <row r="17" spans="1:4" x14ac:dyDescent="0.2">
      <c r="A17" s="2" t="s">
        <v>15</v>
      </c>
      <c r="B17">
        <v>1002</v>
      </c>
      <c r="C17" s="1">
        <v>45519</v>
      </c>
      <c r="D17" s="1"/>
    </row>
    <row r="18" spans="1:4" x14ac:dyDescent="0.2">
      <c r="A18" s="2" t="s">
        <v>16</v>
      </c>
      <c r="B18">
        <v>1002</v>
      </c>
      <c r="C18" s="1">
        <v>45899</v>
      </c>
      <c r="D18" s="1">
        <v>45930</v>
      </c>
    </row>
    <row r="19" spans="1:4" x14ac:dyDescent="0.2">
      <c r="A19" s="2" t="s">
        <v>17</v>
      </c>
      <c r="B19">
        <v>1011</v>
      </c>
      <c r="C19" s="1">
        <v>45568</v>
      </c>
      <c r="D19" s="1">
        <v>45623</v>
      </c>
    </row>
    <row r="20" spans="1:4" x14ac:dyDescent="0.2">
      <c r="A20" s="2" t="s">
        <v>4</v>
      </c>
      <c r="B20">
        <v>1003</v>
      </c>
      <c r="C20" s="1">
        <v>45417</v>
      </c>
      <c r="D20" s="1"/>
    </row>
    <row r="21" spans="1:4" x14ac:dyDescent="0.2">
      <c r="A21" s="2" t="s">
        <v>18</v>
      </c>
      <c r="B21">
        <v>1004</v>
      </c>
      <c r="C21" s="1">
        <v>45320</v>
      </c>
      <c r="D21" s="1"/>
    </row>
    <row r="22" spans="1:4" x14ac:dyDescent="0.2">
      <c r="A22" s="2" t="s">
        <v>19</v>
      </c>
      <c r="B22">
        <v>1004</v>
      </c>
      <c r="C22" s="1">
        <v>45403</v>
      </c>
      <c r="D22" s="1">
        <v>45839</v>
      </c>
    </row>
    <row r="23" spans="1:4" x14ac:dyDescent="0.2">
      <c r="A23" s="2" t="s">
        <v>12</v>
      </c>
      <c r="B23">
        <v>1006</v>
      </c>
      <c r="C23" s="1">
        <v>45630</v>
      </c>
      <c r="D23" s="1">
        <v>45732</v>
      </c>
    </row>
    <row r="24" spans="1:4" x14ac:dyDescent="0.2">
      <c r="A24" s="2" t="s">
        <v>20</v>
      </c>
      <c r="B24">
        <v>1012</v>
      </c>
      <c r="C24" s="1">
        <v>45792</v>
      </c>
      <c r="D24" s="1">
        <v>45905</v>
      </c>
    </row>
    <row r="25" spans="1:4" x14ac:dyDescent="0.2">
      <c r="A25" s="2" t="s">
        <v>21</v>
      </c>
      <c r="B25">
        <v>1001</v>
      </c>
      <c r="C25" s="1">
        <v>45544</v>
      </c>
      <c r="D25" s="1">
        <v>45854</v>
      </c>
    </row>
    <row r="26" spans="1:4" x14ac:dyDescent="0.2">
      <c r="A26" s="2" t="s">
        <v>16</v>
      </c>
      <c r="B26">
        <v>1002</v>
      </c>
      <c r="C26" s="1">
        <v>45493</v>
      </c>
      <c r="D26" s="1">
        <v>45663</v>
      </c>
    </row>
    <row r="27" spans="1:4" x14ac:dyDescent="0.2">
      <c r="A27" s="2" t="s">
        <v>13</v>
      </c>
      <c r="B27">
        <v>1009</v>
      </c>
      <c r="C27" s="1">
        <v>45319</v>
      </c>
      <c r="D27" s="1">
        <v>45714</v>
      </c>
    </row>
    <row r="28" spans="1:4" x14ac:dyDescent="0.2">
      <c r="A28" s="2" t="s">
        <v>12</v>
      </c>
      <c r="B28">
        <v>1003</v>
      </c>
      <c r="C28" s="1">
        <v>45595</v>
      </c>
      <c r="D28" s="1">
        <v>45630</v>
      </c>
    </row>
    <row r="29" spans="1:4" x14ac:dyDescent="0.2">
      <c r="A29" s="2" t="s">
        <v>7</v>
      </c>
      <c r="B29">
        <v>1002</v>
      </c>
      <c r="C29" s="1">
        <v>45799</v>
      </c>
      <c r="D29" s="1">
        <v>45808</v>
      </c>
    </row>
    <row r="30" spans="1:4" x14ac:dyDescent="0.2">
      <c r="A30" s="2" t="s">
        <v>21</v>
      </c>
      <c r="B30">
        <v>1001</v>
      </c>
      <c r="C30" s="1">
        <v>45880</v>
      </c>
      <c r="D30" s="1"/>
    </row>
    <row r="31" spans="1:4" x14ac:dyDescent="0.2">
      <c r="A31" s="2" t="s">
        <v>4</v>
      </c>
      <c r="B31">
        <v>1001</v>
      </c>
      <c r="C31" s="1">
        <v>45297</v>
      </c>
      <c r="D31" s="1"/>
    </row>
    <row r="32" spans="1:4" x14ac:dyDescent="0.2">
      <c r="A32" s="2" t="s">
        <v>7</v>
      </c>
      <c r="B32">
        <v>1003</v>
      </c>
      <c r="C32" s="1">
        <v>45330</v>
      </c>
      <c r="D32" s="1">
        <v>45817</v>
      </c>
    </row>
    <row r="33" spans="1:4" x14ac:dyDescent="0.2">
      <c r="A33" s="2" t="s">
        <v>18</v>
      </c>
      <c r="B33">
        <v>1004</v>
      </c>
      <c r="C33" s="1">
        <v>45336</v>
      </c>
      <c r="D33" s="1"/>
    </row>
    <row r="34" spans="1:4" x14ac:dyDescent="0.2">
      <c r="A34" s="2" t="s">
        <v>22</v>
      </c>
      <c r="B34">
        <v>1003</v>
      </c>
      <c r="C34" s="1">
        <v>45827</v>
      </c>
      <c r="D34" s="1">
        <v>45908</v>
      </c>
    </row>
    <row r="35" spans="1:4" x14ac:dyDescent="0.2">
      <c r="A35" s="2" t="s">
        <v>23</v>
      </c>
      <c r="B35">
        <v>1005</v>
      </c>
      <c r="C35" s="1">
        <v>45675</v>
      </c>
      <c r="D35" s="1"/>
    </row>
    <row r="36" spans="1:4" x14ac:dyDescent="0.2">
      <c r="A36" s="2" t="s">
        <v>20</v>
      </c>
      <c r="B36">
        <v>1005</v>
      </c>
      <c r="C36" s="1">
        <v>45261</v>
      </c>
      <c r="D36" s="1">
        <v>45559</v>
      </c>
    </row>
    <row r="37" spans="1:4" x14ac:dyDescent="0.2">
      <c r="A37" s="2" t="s">
        <v>24</v>
      </c>
      <c r="B37">
        <v>1003</v>
      </c>
      <c r="C37" s="1">
        <v>45508</v>
      </c>
      <c r="D37" s="1">
        <v>45871</v>
      </c>
    </row>
    <row r="38" spans="1:4" x14ac:dyDescent="0.2">
      <c r="A38" s="2" t="s">
        <v>25</v>
      </c>
      <c r="B38">
        <v>1001</v>
      </c>
      <c r="C38" s="1">
        <v>45622</v>
      </c>
      <c r="D38" s="1">
        <v>45719</v>
      </c>
    </row>
    <row r="39" spans="1:4" x14ac:dyDescent="0.2">
      <c r="A39" s="2" t="s">
        <v>4</v>
      </c>
      <c r="B39">
        <v>1001</v>
      </c>
      <c r="C39" s="1">
        <v>45641</v>
      </c>
      <c r="D39" s="1"/>
    </row>
    <row r="40" spans="1:4" x14ac:dyDescent="0.2">
      <c r="A40" s="2" t="s">
        <v>22</v>
      </c>
      <c r="B40">
        <v>1001</v>
      </c>
      <c r="C40" s="1">
        <v>45880</v>
      </c>
      <c r="D40" s="1">
        <v>45881</v>
      </c>
    </row>
    <row r="41" spans="1:4" x14ac:dyDescent="0.2">
      <c r="A41" s="2" t="s">
        <v>26</v>
      </c>
      <c r="B41">
        <v>1009</v>
      </c>
      <c r="C41" s="1">
        <v>45740</v>
      </c>
      <c r="D41" s="1">
        <v>45784</v>
      </c>
    </row>
    <row r="42" spans="1:4" x14ac:dyDescent="0.2">
      <c r="A42" s="2" t="s">
        <v>26</v>
      </c>
      <c r="B42">
        <v>1002</v>
      </c>
      <c r="C42" s="1">
        <v>45741</v>
      </c>
      <c r="D42" s="1"/>
    </row>
    <row r="43" spans="1:4" x14ac:dyDescent="0.2">
      <c r="A43" s="2" t="s">
        <v>9</v>
      </c>
      <c r="B43">
        <v>1010</v>
      </c>
      <c r="C43" s="1">
        <v>45899</v>
      </c>
      <c r="D43" s="1">
        <v>45925</v>
      </c>
    </row>
    <row r="44" spans="1:4" x14ac:dyDescent="0.2">
      <c r="A44" s="2" t="s">
        <v>7</v>
      </c>
      <c r="B44">
        <v>1007</v>
      </c>
      <c r="C44" s="1">
        <v>45795</v>
      </c>
      <c r="D44" s="1">
        <v>45846</v>
      </c>
    </row>
    <row r="45" spans="1:4" x14ac:dyDescent="0.2">
      <c r="A45" s="2" t="s">
        <v>7</v>
      </c>
      <c r="B45">
        <v>1010</v>
      </c>
      <c r="C45" s="1">
        <v>45808</v>
      </c>
      <c r="D45" s="1">
        <v>45932</v>
      </c>
    </row>
    <row r="46" spans="1:4" x14ac:dyDescent="0.2">
      <c r="A46" s="2" t="s">
        <v>8</v>
      </c>
      <c r="B46">
        <v>1007</v>
      </c>
      <c r="C46" s="1">
        <v>45476</v>
      </c>
      <c r="D46" s="1"/>
    </row>
  </sheetData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06D02-F04E-9245-B867-FD215D2012B5}">
  <dimension ref="A1:F36"/>
  <sheetViews>
    <sheetView workbookViewId="0"/>
  </sheetViews>
  <sheetFormatPr baseColWidth="10" defaultRowHeight="16" x14ac:dyDescent="0.2"/>
  <cols>
    <col min="1" max="1" width="16.33203125" bestFit="1" customWidth="1"/>
    <col min="2" max="2" width="11.83203125" bestFit="1" customWidth="1"/>
    <col min="3" max="3" width="14.5" bestFit="1" customWidth="1"/>
    <col min="4" max="4" width="12.83203125" bestFit="1" customWidth="1"/>
    <col min="5" max="5" width="17" bestFit="1" customWidth="1"/>
    <col min="6" max="6" width="10.6640625" bestFit="1" customWidth="1"/>
  </cols>
  <sheetData>
    <row r="1" spans="1:6" x14ac:dyDescent="0.2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</row>
    <row r="2" spans="1:6" x14ac:dyDescent="0.2">
      <c r="A2" s="2" t="s">
        <v>32</v>
      </c>
      <c r="B2" s="2" t="s">
        <v>33</v>
      </c>
      <c r="C2" s="2" t="s">
        <v>34</v>
      </c>
      <c r="D2" s="1">
        <v>44937</v>
      </c>
      <c r="E2" s="2">
        <v>1342.83</v>
      </c>
      <c r="F2" s="2" t="s">
        <v>35</v>
      </c>
    </row>
    <row r="3" spans="1:6" x14ac:dyDescent="0.2">
      <c r="A3" s="2" t="s">
        <v>36</v>
      </c>
      <c r="B3" s="2" t="s">
        <v>33</v>
      </c>
      <c r="C3" s="2" t="s">
        <v>37</v>
      </c>
      <c r="D3" s="1">
        <v>44250</v>
      </c>
      <c r="E3" s="2">
        <v>1076.18</v>
      </c>
      <c r="F3" s="2" t="s">
        <v>38</v>
      </c>
    </row>
    <row r="4" spans="1:6" x14ac:dyDescent="0.2">
      <c r="A4" s="2" t="s">
        <v>39</v>
      </c>
      <c r="B4" s="2" t="s">
        <v>33</v>
      </c>
      <c r="C4" s="2" t="s">
        <v>40</v>
      </c>
      <c r="D4" s="1">
        <v>45543</v>
      </c>
      <c r="E4" s="2">
        <v>1931.54</v>
      </c>
      <c r="F4" s="2" t="s">
        <v>38</v>
      </c>
    </row>
    <row r="5" spans="1:6" x14ac:dyDescent="0.2">
      <c r="A5" s="2" t="s">
        <v>22</v>
      </c>
      <c r="B5" s="2" t="s">
        <v>41</v>
      </c>
      <c r="C5" s="2" t="s">
        <v>42</v>
      </c>
      <c r="D5" s="1">
        <v>45782</v>
      </c>
      <c r="E5" s="2">
        <v>1007.88</v>
      </c>
      <c r="F5" s="2" t="s">
        <v>38</v>
      </c>
    </row>
    <row r="6" spans="1:6" x14ac:dyDescent="0.2">
      <c r="A6" s="2" t="s">
        <v>9</v>
      </c>
      <c r="B6" s="2" t="s">
        <v>43</v>
      </c>
      <c r="C6" s="2" t="s">
        <v>44</v>
      </c>
      <c r="D6" s="1">
        <v>44503</v>
      </c>
      <c r="E6" s="2">
        <v>823.23</v>
      </c>
      <c r="F6" s="2" t="s">
        <v>35</v>
      </c>
    </row>
    <row r="7" spans="1:6" x14ac:dyDescent="0.2">
      <c r="A7" s="2" t="s">
        <v>8</v>
      </c>
      <c r="B7" s="2" t="s">
        <v>45</v>
      </c>
      <c r="C7" s="2" t="s">
        <v>46</v>
      </c>
      <c r="D7" s="1">
        <v>45292</v>
      </c>
      <c r="E7" s="2">
        <v>1257.96</v>
      </c>
      <c r="F7" s="2" t="s">
        <v>38</v>
      </c>
    </row>
    <row r="8" spans="1:6" x14ac:dyDescent="0.2">
      <c r="A8" s="2" t="s">
        <v>21</v>
      </c>
      <c r="B8" s="2" t="s">
        <v>41</v>
      </c>
      <c r="C8" s="2" t="s">
        <v>47</v>
      </c>
      <c r="D8" s="1">
        <v>44360</v>
      </c>
      <c r="E8" s="2">
        <v>869.09</v>
      </c>
      <c r="F8" s="2" t="s">
        <v>48</v>
      </c>
    </row>
    <row r="9" spans="1:6" x14ac:dyDescent="0.2">
      <c r="A9" s="2" t="s">
        <v>49</v>
      </c>
      <c r="B9" s="2" t="s">
        <v>50</v>
      </c>
      <c r="C9" s="2" t="s">
        <v>51</v>
      </c>
      <c r="D9" s="1">
        <v>45831</v>
      </c>
      <c r="E9" s="2">
        <v>1323.76</v>
      </c>
      <c r="F9" s="2" t="s">
        <v>48</v>
      </c>
    </row>
    <row r="10" spans="1:6" x14ac:dyDescent="0.2">
      <c r="A10" s="2" t="s">
        <v>10</v>
      </c>
      <c r="B10" s="2" t="s">
        <v>41</v>
      </c>
      <c r="C10" s="2" t="s">
        <v>42</v>
      </c>
      <c r="D10" s="1">
        <v>45026</v>
      </c>
      <c r="E10" s="2">
        <v>1458.02</v>
      </c>
      <c r="F10" s="2" t="s">
        <v>38</v>
      </c>
    </row>
    <row r="11" spans="1:6" x14ac:dyDescent="0.2">
      <c r="A11" s="2" t="s">
        <v>52</v>
      </c>
      <c r="B11" s="2" t="s">
        <v>41</v>
      </c>
      <c r="C11" s="2" t="s">
        <v>42</v>
      </c>
      <c r="D11" s="1">
        <v>45239</v>
      </c>
      <c r="E11" s="2">
        <v>1786.37</v>
      </c>
      <c r="F11" s="2" t="s">
        <v>38</v>
      </c>
    </row>
    <row r="12" spans="1:6" x14ac:dyDescent="0.2">
      <c r="A12" s="2" t="s">
        <v>11</v>
      </c>
      <c r="B12" s="2" t="s">
        <v>43</v>
      </c>
      <c r="C12" s="2" t="s">
        <v>53</v>
      </c>
      <c r="D12" s="1">
        <v>45909</v>
      </c>
      <c r="E12" s="2">
        <v>1417.1</v>
      </c>
      <c r="F12" s="2" t="s">
        <v>38</v>
      </c>
    </row>
    <row r="13" spans="1:6" x14ac:dyDescent="0.2">
      <c r="A13" s="2" t="s">
        <v>54</v>
      </c>
      <c r="B13" s="2" t="s">
        <v>33</v>
      </c>
      <c r="C13" s="2" t="s">
        <v>34</v>
      </c>
      <c r="D13" s="1">
        <v>44713</v>
      </c>
      <c r="E13" s="2">
        <v>968.43</v>
      </c>
      <c r="F13" s="2" t="s">
        <v>48</v>
      </c>
    </row>
    <row r="14" spans="1:6" x14ac:dyDescent="0.2">
      <c r="A14" s="2" t="s">
        <v>13</v>
      </c>
      <c r="B14" s="2" t="s">
        <v>43</v>
      </c>
      <c r="C14" s="2" t="s">
        <v>44</v>
      </c>
      <c r="D14" s="1">
        <v>44332</v>
      </c>
      <c r="E14" s="2">
        <v>1898.65</v>
      </c>
      <c r="F14" s="2" t="s">
        <v>48</v>
      </c>
    </row>
    <row r="15" spans="1:6" x14ac:dyDescent="0.2">
      <c r="A15" s="2" t="s">
        <v>25</v>
      </c>
      <c r="B15" s="2" t="s">
        <v>41</v>
      </c>
      <c r="C15" s="2" t="s">
        <v>47</v>
      </c>
      <c r="D15" s="1">
        <v>44258</v>
      </c>
      <c r="E15" s="2">
        <v>1415.97</v>
      </c>
      <c r="F15" s="2" t="s">
        <v>48</v>
      </c>
    </row>
    <row r="16" spans="1:6" x14ac:dyDescent="0.2">
      <c r="A16" s="2" t="s">
        <v>15</v>
      </c>
      <c r="B16" s="2" t="s">
        <v>45</v>
      </c>
      <c r="C16" s="2" t="s">
        <v>55</v>
      </c>
      <c r="D16" s="1">
        <v>44824</v>
      </c>
      <c r="E16" s="2">
        <v>661.44</v>
      </c>
      <c r="F16" s="2" t="s">
        <v>38</v>
      </c>
    </row>
    <row r="17" spans="1:6" x14ac:dyDescent="0.2">
      <c r="A17" s="2" t="s">
        <v>7</v>
      </c>
      <c r="B17" s="2" t="s">
        <v>43</v>
      </c>
      <c r="C17" s="2" t="s">
        <v>44</v>
      </c>
      <c r="D17" s="1">
        <v>45015</v>
      </c>
      <c r="E17" s="2">
        <v>1501.06</v>
      </c>
      <c r="F17" s="2" t="s">
        <v>35</v>
      </c>
    </row>
    <row r="18" spans="1:6" x14ac:dyDescent="0.2">
      <c r="A18" s="2" t="s">
        <v>56</v>
      </c>
      <c r="B18" s="2" t="s">
        <v>45</v>
      </c>
      <c r="C18" s="2" t="s">
        <v>46</v>
      </c>
      <c r="D18" s="1">
        <v>44363</v>
      </c>
      <c r="E18" s="2">
        <v>1748.56</v>
      </c>
      <c r="F18" s="2" t="s">
        <v>35</v>
      </c>
    </row>
    <row r="19" spans="1:6" x14ac:dyDescent="0.2">
      <c r="A19" s="2" t="s">
        <v>17</v>
      </c>
      <c r="B19" s="2" t="s">
        <v>33</v>
      </c>
      <c r="C19" s="2" t="s">
        <v>40</v>
      </c>
      <c r="D19" s="1">
        <v>44839</v>
      </c>
      <c r="E19" s="2">
        <v>1688.07</v>
      </c>
      <c r="F19" s="2" t="s">
        <v>38</v>
      </c>
    </row>
    <row r="20" spans="1:6" x14ac:dyDescent="0.2">
      <c r="A20" s="2" t="s">
        <v>57</v>
      </c>
      <c r="B20" s="2" t="s">
        <v>43</v>
      </c>
      <c r="C20" s="2" t="s">
        <v>58</v>
      </c>
      <c r="D20" s="1">
        <v>44429</v>
      </c>
      <c r="E20" s="2">
        <v>737.57</v>
      </c>
      <c r="F20" s="2" t="s">
        <v>48</v>
      </c>
    </row>
    <row r="21" spans="1:6" x14ac:dyDescent="0.2">
      <c r="A21" s="2" t="s">
        <v>59</v>
      </c>
      <c r="B21" s="2" t="s">
        <v>45</v>
      </c>
      <c r="C21" s="2" t="s">
        <v>46</v>
      </c>
      <c r="D21" s="1">
        <v>45297</v>
      </c>
      <c r="E21" s="2">
        <v>740.2</v>
      </c>
      <c r="F21" s="2" t="s">
        <v>38</v>
      </c>
    </row>
    <row r="22" spans="1:6" x14ac:dyDescent="0.2">
      <c r="A22" s="2" t="s">
        <v>5</v>
      </c>
      <c r="B22" s="2" t="s">
        <v>60</v>
      </c>
      <c r="C22" s="2" t="s">
        <v>61</v>
      </c>
      <c r="D22" s="1">
        <v>44979</v>
      </c>
      <c r="E22" s="2">
        <v>1134.1600000000001</v>
      </c>
      <c r="F22" s="2" t="s">
        <v>38</v>
      </c>
    </row>
    <row r="23" spans="1:6" x14ac:dyDescent="0.2">
      <c r="A23" s="2" t="s">
        <v>16</v>
      </c>
      <c r="B23" s="2" t="s">
        <v>33</v>
      </c>
      <c r="C23" s="2" t="s">
        <v>40</v>
      </c>
      <c r="D23" s="1">
        <v>45524</v>
      </c>
      <c r="E23" s="2">
        <v>1591.98</v>
      </c>
      <c r="F23" s="2" t="s">
        <v>48</v>
      </c>
    </row>
    <row r="24" spans="1:6" x14ac:dyDescent="0.2">
      <c r="A24" s="2" t="s">
        <v>62</v>
      </c>
      <c r="B24" s="2" t="s">
        <v>43</v>
      </c>
      <c r="C24" s="2" t="s">
        <v>44</v>
      </c>
      <c r="D24" s="1">
        <v>45249</v>
      </c>
      <c r="E24" s="2">
        <v>1335.34</v>
      </c>
      <c r="F24" s="2" t="s">
        <v>48</v>
      </c>
    </row>
    <row r="25" spans="1:6" x14ac:dyDescent="0.2">
      <c r="A25" s="2" t="s">
        <v>6</v>
      </c>
      <c r="B25" s="2" t="s">
        <v>60</v>
      </c>
      <c r="C25" s="2" t="s">
        <v>63</v>
      </c>
      <c r="D25" s="1">
        <v>44621</v>
      </c>
      <c r="E25" s="2">
        <v>750.91</v>
      </c>
      <c r="F25" s="2" t="s">
        <v>35</v>
      </c>
    </row>
    <row r="26" spans="1:6" x14ac:dyDescent="0.2">
      <c r="A26" s="2" t="s">
        <v>23</v>
      </c>
      <c r="B26" s="2" t="s">
        <v>50</v>
      </c>
      <c r="C26" s="2" t="s">
        <v>51</v>
      </c>
      <c r="D26" s="1">
        <v>45266</v>
      </c>
      <c r="E26" s="2">
        <v>545.46</v>
      </c>
      <c r="F26" s="2" t="s">
        <v>35</v>
      </c>
    </row>
    <row r="27" spans="1:6" x14ac:dyDescent="0.2">
      <c r="A27" s="2" t="s">
        <v>64</v>
      </c>
      <c r="B27" s="2" t="s">
        <v>41</v>
      </c>
      <c r="C27" s="2" t="s">
        <v>42</v>
      </c>
      <c r="D27" s="1">
        <v>45219</v>
      </c>
      <c r="E27" s="2">
        <v>1403.91</v>
      </c>
      <c r="F27" s="2" t="s">
        <v>48</v>
      </c>
    </row>
    <row r="28" spans="1:6" x14ac:dyDescent="0.2">
      <c r="A28" s="2" t="s">
        <v>19</v>
      </c>
      <c r="B28" s="2" t="s">
        <v>60</v>
      </c>
      <c r="C28" s="2" t="s">
        <v>61</v>
      </c>
      <c r="D28" s="1">
        <v>44766</v>
      </c>
      <c r="E28" s="2">
        <v>501.64</v>
      </c>
      <c r="F28" s="2" t="s">
        <v>38</v>
      </c>
    </row>
    <row r="29" spans="1:6" x14ac:dyDescent="0.2">
      <c r="A29" s="2" t="s">
        <v>12</v>
      </c>
      <c r="B29" s="2" t="s">
        <v>50</v>
      </c>
      <c r="C29" s="2" t="s">
        <v>51</v>
      </c>
      <c r="D29" s="1">
        <v>44945</v>
      </c>
      <c r="E29" s="2">
        <v>1246.58</v>
      </c>
      <c r="F29" s="2" t="s">
        <v>48</v>
      </c>
    </row>
    <row r="30" spans="1:6" x14ac:dyDescent="0.2">
      <c r="A30" s="2" t="s">
        <v>14</v>
      </c>
      <c r="B30" s="2" t="s">
        <v>41</v>
      </c>
      <c r="C30" s="2" t="s">
        <v>47</v>
      </c>
      <c r="D30" s="1">
        <v>44337</v>
      </c>
      <c r="E30" s="2">
        <v>1553.15</v>
      </c>
      <c r="F30" s="2" t="s">
        <v>48</v>
      </c>
    </row>
    <row r="31" spans="1:6" x14ac:dyDescent="0.2">
      <c r="A31" s="2" t="s">
        <v>20</v>
      </c>
      <c r="B31" s="2" t="s">
        <v>50</v>
      </c>
      <c r="C31" s="2" t="s">
        <v>51</v>
      </c>
      <c r="D31" s="1">
        <v>44647</v>
      </c>
      <c r="E31" s="2">
        <v>1629.76</v>
      </c>
      <c r="F31" s="2" t="s">
        <v>38</v>
      </c>
    </row>
    <row r="32" spans="1:6" x14ac:dyDescent="0.2">
      <c r="A32" s="2" t="s">
        <v>18</v>
      </c>
      <c r="B32" s="2" t="s">
        <v>41</v>
      </c>
      <c r="C32" s="2" t="s">
        <v>65</v>
      </c>
      <c r="D32" s="1">
        <v>45775</v>
      </c>
      <c r="E32" s="2">
        <v>1095.6199999999999</v>
      </c>
      <c r="F32" s="2" t="s">
        <v>38</v>
      </c>
    </row>
    <row r="33" spans="1:6" x14ac:dyDescent="0.2">
      <c r="A33" s="2" t="s">
        <v>24</v>
      </c>
      <c r="B33" s="2" t="s">
        <v>41</v>
      </c>
      <c r="C33" s="2" t="s">
        <v>47</v>
      </c>
      <c r="D33" s="1">
        <v>44876</v>
      </c>
      <c r="E33" s="2">
        <v>1801.36</v>
      </c>
      <c r="F33" s="2" t="s">
        <v>38</v>
      </c>
    </row>
    <row r="34" spans="1:6" x14ac:dyDescent="0.2">
      <c r="A34" s="2" t="s">
        <v>26</v>
      </c>
      <c r="B34" s="2" t="s">
        <v>50</v>
      </c>
      <c r="C34" s="2" t="s">
        <v>66</v>
      </c>
      <c r="D34" s="1">
        <v>44623</v>
      </c>
      <c r="E34" s="2">
        <v>1212.29</v>
      </c>
      <c r="F34" s="2" t="s">
        <v>35</v>
      </c>
    </row>
    <row r="35" spans="1:6" x14ac:dyDescent="0.2">
      <c r="A35" s="2" t="s">
        <v>67</v>
      </c>
      <c r="B35" s="2" t="s">
        <v>45</v>
      </c>
      <c r="C35" s="2" t="s">
        <v>46</v>
      </c>
      <c r="D35" s="1">
        <v>45552</v>
      </c>
      <c r="E35" s="2">
        <v>1746.67</v>
      </c>
      <c r="F35" s="2" t="s">
        <v>48</v>
      </c>
    </row>
    <row r="36" spans="1:6" x14ac:dyDescent="0.2">
      <c r="A36" s="2" t="s">
        <v>4</v>
      </c>
      <c r="B36" s="2" t="s">
        <v>50</v>
      </c>
      <c r="C36" s="2" t="s">
        <v>66</v>
      </c>
      <c r="D36" s="1">
        <v>45294</v>
      </c>
      <c r="E36" s="2">
        <v>644.54</v>
      </c>
      <c r="F36" s="2" t="s">
        <v>35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BFE02-300E-6949-A8B6-516751B35659}">
  <dimension ref="A1:D13"/>
  <sheetViews>
    <sheetView zoomScale="190" workbookViewId="0"/>
  </sheetViews>
  <sheetFormatPr baseColWidth="10" defaultRowHeight="16" x14ac:dyDescent="0.2"/>
  <cols>
    <col min="1" max="1" width="15.33203125" bestFit="1" customWidth="1"/>
    <col min="2" max="2" width="31.5" bestFit="1" customWidth="1"/>
    <col min="3" max="3" width="11.5" bestFit="1" customWidth="1"/>
    <col min="4" max="4" width="10.6640625" bestFit="1" customWidth="1"/>
  </cols>
  <sheetData>
    <row r="1" spans="1:4" x14ac:dyDescent="0.2">
      <c r="A1" t="s">
        <v>1</v>
      </c>
      <c r="B1" t="s">
        <v>68</v>
      </c>
      <c r="C1" t="s">
        <v>69</v>
      </c>
      <c r="D1" t="s">
        <v>31</v>
      </c>
    </row>
    <row r="2" spans="1:4" x14ac:dyDescent="0.2">
      <c r="A2">
        <v>1001</v>
      </c>
      <c r="B2" s="2" t="s">
        <v>70</v>
      </c>
      <c r="C2" s="2" t="s">
        <v>71</v>
      </c>
      <c r="D2" s="2" t="s">
        <v>35</v>
      </c>
    </row>
    <row r="3" spans="1:4" x14ac:dyDescent="0.2">
      <c r="A3">
        <v>1002</v>
      </c>
      <c r="B3" s="2" t="s">
        <v>72</v>
      </c>
      <c r="C3" s="2" t="s">
        <v>71</v>
      </c>
      <c r="D3" s="2" t="s">
        <v>35</v>
      </c>
    </row>
    <row r="4" spans="1:4" x14ac:dyDescent="0.2">
      <c r="A4">
        <v>1003</v>
      </c>
      <c r="B4" s="2" t="s">
        <v>73</v>
      </c>
      <c r="C4" s="2" t="s">
        <v>74</v>
      </c>
      <c r="D4" s="2" t="s">
        <v>48</v>
      </c>
    </row>
    <row r="5" spans="1:4" x14ac:dyDescent="0.2">
      <c r="A5">
        <v>1004</v>
      </c>
      <c r="B5" s="2" t="s">
        <v>75</v>
      </c>
      <c r="C5" s="2" t="s">
        <v>76</v>
      </c>
      <c r="D5" s="2" t="s">
        <v>48</v>
      </c>
    </row>
    <row r="6" spans="1:4" x14ac:dyDescent="0.2">
      <c r="A6">
        <v>1005</v>
      </c>
      <c r="B6" s="2" t="s">
        <v>77</v>
      </c>
      <c r="C6" s="2" t="s">
        <v>76</v>
      </c>
      <c r="D6" s="2" t="s">
        <v>35</v>
      </c>
    </row>
    <row r="7" spans="1:4" x14ac:dyDescent="0.2">
      <c r="A7">
        <v>1006</v>
      </c>
      <c r="B7" s="2" t="s">
        <v>78</v>
      </c>
      <c r="C7" s="2" t="s">
        <v>76</v>
      </c>
      <c r="D7" s="2" t="s">
        <v>48</v>
      </c>
    </row>
    <row r="8" spans="1:4" x14ac:dyDescent="0.2">
      <c r="A8">
        <v>1007</v>
      </c>
      <c r="B8" s="2" t="s">
        <v>79</v>
      </c>
      <c r="C8" s="2" t="s">
        <v>71</v>
      </c>
      <c r="D8" s="2" t="s">
        <v>35</v>
      </c>
    </row>
    <row r="9" spans="1:4" x14ac:dyDescent="0.2">
      <c r="A9">
        <v>1008</v>
      </c>
      <c r="B9" s="2" t="s">
        <v>80</v>
      </c>
      <c r="C9" s="2" t="s">
        <v>71</v>
      </c>
      <c r="D9" s="2" t="s">
        <v>48</v>
      </c>
    </row>
    <row r="10" spans="1:4" x14ac:dyDescent="0.2">
      <c r="A10">
        <v>1009</v>
      </c>
      <c r="B10" s="2" t="s">
        <v>81</v>
      </c>
      <c r="C10" s="2" t="s">
        <v>82</v>
      </c>
      <c r="D10" s="2" t="s">
        <v>48</v>
      </c>
    </row>
    <row r="11" spans="1:4" x14ac:dyDescent="0.2">
      <c r="A11">
        <v>1010</v>
      </c>
      <c r="B11" s="2" t="s">
        <v>83</v>
      </c>
      <c r="C11" s="2" t="s">
        <v>71</v>
      </c>
      <c r="D11" s="2" t="s">
        <v>48</v>
      </c>
    </row>
    <row r="12" spans="1:4" x14ac:dyDescent="0.2">
      <c r="A12">
        <v>1011</v>
      </c>
      <c r="B12" s="2" t="s">
        <v>84</v>
      </c>
      <c r="C12" s="2" t="s">
        <v>71</v>
      </c>
      <c r="D12" s="2" t="s">
        <v>48</v>
      </c>
    </row>
    <row r="13" spans="1:4" x14ac:dyDescent="0.2">
      <c r="A13">
        <v>1012</v>
      </c>
      <c r="B13" s="2" t="s">
        <v>85</v>
      </c>
      <c r="C13" s="2" t="s">
        <v>71</v>
      </c>
      <c r="D13" s="2" t="s">
        <v>38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2A7586-BF33-5245-B339-9AACDD5FFD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D1</vt:lpstr>
      <vt:lpstr>D3</vt:lpstr>
      <vt:lpstr>Gesamt</vt:lpstr>
      <vt:lpstr>Ausleihen </vt:lpstr>
      <vt:lpstr>Geraete</vt:lpstr>
      <vt:lpstr>Mitarbeiter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Adelina Culin</dc:creator>
  <cp:lastModifiedBy>Adelina Culin</cp:lastModifiedBy>
  <dcterms:created xsi:type="dcterms:W3CDTF">2026-10-10T09:47:03Z</dcterms:created>
  <dcterms:modified xsi:type="dcterms:W3CDTF">2026-10-10T12:53:03Z</dcterms:modified>
</cp:coreProperties>
</file>